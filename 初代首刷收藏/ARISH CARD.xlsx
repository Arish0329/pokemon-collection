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0. CLAUDE CODE\初代首刷收藏\"/>
    </mc:Choice>
  </mc:AlternateContent>
  <xr:revisionPtr revIDLastSave="0" documentId="13_ncr:1_{58E9378F-76A9-4FBC-B14C-5FF646AE6D99}" xr6:coauthVersionLast="47" xr6:coauthVersionMax="47" xr10:uidLastSave="{00000000-0000-0000-0000-000000000000}"/>
  <bookViews>
    <workbookView xWindow="435" yWindow="495" windowWidth="28320" windowHeight="14205" xr2:uid="{00000000-000D-0000-FFFF-FFFF00000000}"/>
  </bookViews>
  <sheets>
    <sheet name="「PTCG(初代首刷收藏)」" sheetId="2" r:id="rId1"/>
  </sheets>
  <definedNames>
    <definedName name="_xlnm._FilterDatabase" localSheetId="0" hidden="1">'「PTCG(初代首刷收藏)」'!$A$1:$H$137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6" i="2" l="1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H11" i="2"/>
  <c r="E11" i="2"/>
  <c r="H10" i="2"/>
  <c r="E10" i="2"/>
  <c r="H9" i="2"/>
  <c r="E9" i="2"/>
  <c r="H8" i="2"/>
  <c r="E8" i="2"/>
  <c r="H7" i="2"/>
  <c r="E7" i="2"/>
  <c r="K6" i="2" a="1"/>
  <c r="K6" i="2" s="1"/>
  <c r="H6" i="2"/>
  <c r="E6" i="2"/>
  <c r="K5" i="2" a="1"/>
  <c r="K5" i="2" s="1"/>
  <c r="H5" i="2"/>
  <c r="E5" i="2"/>
  <c r="K4" i="2" a="1"/>
  <c r="K4" i="2" s="1"/>
  <c r="H4" i="2"/>
  <c r="E4" i="2"/>
  <c r="K3" i="2" a="1"/>
  <c r="K3" i="2" s="1"/>
  <c r="H3" i="2"/>
  <c r="E3" i="2"/>
  <c r="H2" i="2"/>
  <c r="L2" i="2" s="1"/>
  <c r="E2" i="2"/>
</calcChain>
</file>

<file path=xl/sharedStrings.xml><?xml version="1.0" encoding="utf-8"?>
<sst xmlns="http://schemas.openxmlformats.org/spreadsheetml/2006/main" count="133" uniqueCount="76">
  <si>
    <t>卡片名稱</t>
  </si>
  <si>
    <t>鑑定分數</t>
  </si>
  <si>
    <t>買價</t>
  </si>
  <si>
    <t>運費+關稅</t>
  </si>
  <si>
    <t>成本</t>
  </si>
  <si>
    <t>賣價(實拿)</t>
  </si>
  <si>
    <t>PSA8</t>
  </si>
  <si>
    <t>PSA10</t>
  </si>
  <si>
    <t>PSA9</t>
  </si>
  <si>
    <t>頑皮蛋</t>
  </si>
  <si>
    <t>PSA6</t>
  </si>
  <si>
    <t>PSA7</t>
  </si>
  <si>
    <t>圖鑑編號</t>
  </si>
  <si>
    <t>鑑定號碼</t>
  </si>
  <si>
    <t>PSA網頁</t>
  </si>
  <si>
    <t>1ST卡牌查詢</t>
  </si>
  <si>
    <t>1ST EDITION總成本</t>
  </si>
  <si>
    <t>胡地</t>
  </si>
  <si>
    <t>寶可夢名稱</t>
  </si>
  <si>
    <t>迷你</t>
  </si>
  <si>
    <t>水箭龜</t>
  </si>
  <si>
    <t>圖片編號</t>
  </si>
  <si>
    <t>吉利蛋</t>
  </si>
  <si>
    <t>噴火龍2</t>
  </si>
  <si>
    <t>噴火龍3</t>
  </si>
  <si>
    <t>皮皮</t>
  </si>
  <si>
    <t>暴鯉龍</t>
  </si>
  <si>
    <t>快拳郎</t>
  </si>
  <si>
    <t>怪力1</t>
  </si>
  <si>
    <t>三合一磁怪1</t>
  </si>
  <si>
    <t>三合一磁怪2</t>
  </si>
  <si>
    <t>超夢</t>
  </si>
  <si>
    <t>尼多王</t>
  </si>
  <si>
    <t>九尾</t>
  </si>
  <si>
    <t>快泳蛙</t>
  </si>
  <si>
    <t>雷丘</t>
  </si>
  <si>
    <t>妙蛙花</t>
  </si>
  <si>
    <t>閃電鳥</t>
  </si>
  <si>
    <t>三地鼠</t>
  </si>
  <si>
    <t>電擊獸</t>
  </si>
  <si>
    <t>比比鳥</t>
  </si>
  <si>
    <t>火恐龍2</t>
  </si>
  <si>
    <t>火恐龍1</t>
  </si>
  <si>
    <t>迷你龍</t>
  </si>
  <si>
    <t>大蔥鴨</t>
  </si>
  <si>
    <t>卡蒂狗</t>
  </si>
  <si>
    <t>鬼斯通</t>
  </si>
  <si>
    <t>妙蛙草</t>
  </si>
  <si>
    <t>鴨嘴火龍2</t>
  </si>
  <si>
    <t>尼多利諾1</t>
  </si>
  <si>
    <t>卡咪龜3</t>
  </si>
  <si>
    <t>卡咪龜4</t>
  </si>
  <si>
    <t>卡咪龜1</t>
  </si>
  <si>
    <t>凱西</t>
  </si>
  <si>
    <t>妙蛙種子</t>
  </si>
  <si>
    <t>綠毛蟲</t>
  </si>
  <si>
    <t>地鼠</t>
  </si>
  <si>
    <t>嘟嘟</t>
  </si>
  <si>
    <t>素利普</t>
  </si>
  <si>
    <t>鬼斯</t>
  </si>
  <si>
    <t>小火龍</t>
  </si>
  <si>
    <t>鐵殼蛹</t>
  </si>
  <si>
    <t>波波</t>
  </si>
  <si>
    <t>皮卡丘1</t>
  </si>
  <si>
    <t>小火馬</t>
  </si>
  <si>
    <t>小火馬2</t>
  </si>
  <si>
    <t>傑尼龜</t>
  </si>
  <si>
    <t>寶石海星</t>
  </si>
  <si>
    <t>蔓藤怪</t>
  </si>
  <si>
    <t>皮皮玩偶</t>
  </si>
  <si>
    <t>邪惡大木博士</t>
  </si>
  <si>
    <t>神奇寶貝回收</t>
  </si>
  <si>
    <t>超級能量消除</t>
  </si>
  <si>
    <t>能量回收</t>
  </si>
  <si>
    <t>藥水</t>
  </si>
  <si>
    <t>叢林皮卡丘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</si>
</sst>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3"/>
      <color rgb="FFFFFFFF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scheme val="minor"/>
    </font>
    <font>
      <u/>
      <sz val="12"/>
      <color rgb="FF0000FF"/>
      <name val="Arial"/>
      <family val="2"/>
    </font>
    <font>
      <b/>
      <sz val="12"/>
      <color rgb="FFFFFFFF"/>
      <name val="Arial"/>
      <family val="2"/>
      <scheme val="minor"/>
    </font>
    <font>
      <sz val="12"/>
      <color rgb="FFFFFFFF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3"/>
      <color rgb="FFFFFFFF"/>
      <name val="Arial"/>
      <family val="2"/>
      <scheme val="minor"/>
    </font>
    <font>
      <sz val="9"/>
      <name val="Arial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theme="9"/>
        <bgColor theme="9"/>
      </patternFill>
    </fill>
    <fill>
      <patternFill patternType="solid">
        <fgColor rgb="FF0B5394"/>
        <bgColor rgb="FF0B539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10" fillId="9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1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0.140625" customWidth="1"/>
    <col min="2" max="2" width="10.7109375" customWidth="1"/>
    <col min="3" max="5" width="14.85546875" customWidth="1"/>
    <col min="6" max="6" width="16.85546875" customWidth="1"/>
    <col min="8" max="8" width="20" customWidth="1"/>
    <col min="9" max="9" width="17.28515625" customWidth="1"/>
    <col min="11" max="11" width="20.28515625" customWidth="1"/>
  </cols>
  <sheetData>
    <row r="1" spans="1:28" ht="24.75" customHeight="1" x14ac:dyDescent="0.2">
      <c r="A1" s="5" t="s">
        <v>0</v>
      </c>
      <c r="B1" s="5" t="s">
        <v>12</v>
      </c>
      <c r="C1" s="5" t="s">
        <v>1</v>
      </c>
      <c r="D1" s="5" t="s">
        <v>13</v>
      </c>
      <c r="E1" s="5" t="s">
        <v>14</v>
      </c>
      <c r="F1" s="5" t="s">
        <v>2</v>
      </c>
      <c r="G1" s="5" t="s">
        <v>3</v>
      </c>
      <c r="H1" s="5" t="s">
        <v>4</v>
      </c>
      <c r="I1" s="6" t="s">
        <v>5</v>
      </c>
      <c r="J1" s="26" t="s">
        <v>15</v>
      </c>
      <c r="K1" s="27"/>
      <c r="L1" s="26" t="s">
        <v>16</v>
      </c>
      <c r="M1" s="2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24.75" customHeight="1" x14ac:dyDescent="0.2">
      <c r="A2" s="8" t="s">
        <v>17</v>
      </c>
      <c r="B2" s="9">
        <v>1</v>
      </c>
      <c r="C2" s="9" t="s">
        <v>6</v>
      </c>
      <c r="D2" s="10">
        <v>70713696</v>
      </c>
      <c r="E2" s="11">
        <f t="shared" ref="E2:E59" si="0">HYPERLINK("https://www.psacard.com/cert/"&amp;D2&amp;"/psa", D2)</f>
        <v>70713696</v>
      </c>
      <c r="F2" s="9">
        <v>11000</v>
      </c>
      <c r="G2" s="9">
        <v>845</v>
      </c>
      <c r="H2" s="12">
        <f t="shared" ref="H2:H136" si="1">SUM(F2:G2)</f>
        <v>11845</v>
      </c>
      <c r="I2" s="13"/>
      <c r="J2" s="14" t="s">
        <v>18</v>
      </c>
      <c r="K2" s="1" t="s">
        <v>19</v>
      </c>
      <c r="L2" s="28">
        <f>SUM(H:H)</f>
        <v>451854</v>
      </c>
      <c r="M2" s="2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24.75" customHeight="1" x14ac:dyDescent="0.2">
      <c r="A3" s="8" t="s">
        <v>20</v>
      </c>
      <c r="B3" s="9">
        <v>2</v>
      </c>
      <c r="C3" s="9" t="s">
        <v>6</v>
      </c>
      <c r="D3" s="10">
        <v>85177123</v>
      </c>
      <c r="E3" s="11">
        <f t="shared" si="0"/>
        <v>85177123</v>
      </c>
      <c r="F3" s="9">
        <v>15703</v>
      </c>
      <c r="G3" s="9">
        <v>0</v>
      </c>
      <c r="H3" s="12">
        <f t="shared" si="1"/>
        <v>15703</v>
      </c>
      <c r="I3" s="13"/>
      <c r="J3" s="14" t="s">
        <v>21</v>
      </c>
      <c r="K3" s="3" t="e">
        <f t="array" aca="1" ref="K3" ca="1">_xludf.XLOOKUP(K2,A:A,B:B,"圖鑑缺失")</f>
        <v>#NAME?</v>
      </c>
      <c r="L3" s="30"/>
      <c r="M3" s="31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4.75" customHeight="1" x14ac:dyDescent="0.2">
      <c r="A4" s="8" t="s">
        <v>22</v>
      </c>
      <c r="B4" s="9">
        <v>3</v>
      </c>
      <c r="C4" s="9" t="s">
        <v>6</v>
      </c>
      <c r="D4" s="10">
        <v>51994786</v>
      </c>
      <c r="E4" s="11">
        <f t="shared" si="0"/>
        <v>51994786</v>
      </c>
      <c r="F4" s="9">
        <v>8900</v>
      </c>
      <c r="G4" s="9">
        <v>19</v>
      </c>
      <c r="H4" s="12">
        <f t="shared" si="1"/>
        <v>8919</v>
      </c>
      <c r="I4" s="13"/>
      <c r="J4" s="14" t="s">
        <v>1</v>
      </c>
      <c r="K4" s="3" t="e">
        <f t="array" aca="1" ref="K4" ca="1">_xludf.XLOOKUP(K2,A:A,C:C,"圖鑑缺失")</f>
        <v>#NAME?</v>
      </c>
      <c r="L4" s="30"/>
      <c r="M4" s="3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24.75" customHeight="1" x14ac:dyDescent="0.2">
      <c r="A5" s="15" t="s">
        <v>23</v>
      </c>
      <c r="B5" s="9">
        <v>4</v>
      </c>
      <c r="C5" s="9" t="s">
        <v>8</v>
      </c>
      <c r="D5" s="10">
        <v>65440073</v>
      </c>
      <c r="E5" s="11">
        <f t="shared" si="0"/>
        <v>65440073</v>
      </c>
      <c r="F5" s="9">
        <v>129760</v>
      </c>
      <c r="G5" s="9">
        <v>355</v>
      </c>
      <c r="H5" s="12">
        <f t="shared" si="1"/>
        <v>130115</v>
      </c>
      <c r="I5" s="13"/>
      <c r="J5" s="14" t="s">
        <v>13</v>
      </c>
      <c r="K5" s="3" t="e">
        <f t="array" aca="1" ref="K5" ca="1">_xludf.XLOOKUP(K2,A:A,D:D,"圖鑑缺失")</f>
        <v>#NAME?</v>
      </c>
      <c r="L5" s="30"/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24.75" customHeight="1" x14ac:dyDescent="0.2">
      <c r="A6" s="15" t="s">
        <v>24</v>
      </c>
      <c r="B6" s="9">
        <v>4</v>
      </c>
      <c r="C6" s="9" t="s">
        <v>6</v>
      </c>
      <c r="D6" s="10">
        <v>40840783</v>
      </c>
      <c r="E6" s="11">
        <f t="shared" si="0"/>
        <v>40840783</v>
      </c>
      <c r="F6" s="9">
        <v>110069</v>
      </c>
      <c r="G6" s="9">
        <v>390</v>
      </c>
      <c r="H6" s="12">
        <f t="shared" si="1"/>
        <v>110459</v>
      </c>
      <c r="I6" s="13"/>
      <c r="J6" s="14" t="s">
        <v>4</v>
      </c>
      <c r="K6" s="3" t="e">
        <f t="array" aca="1" ref="K6" ca="1">_xludf.XLOOKUP(K2,A:A,H:H,"圖鑑缺失")</f>
        <v>#NAME?</v>
      </c>
      <c r="L6" s="32"/>
      <c r="M6" s="3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24.75" customHeight="1" x14ac:dyDescent="0.2">
      <c r="A7" s="8" t="s">
        <v>25</v>
      </c>
      <c r="B7" s="9">
        <v>5</v>
      </c>
      <c r="C7" s="9" t="s">
        <v>6</v>
      </c>
      <c r="D7" s="10">
        <v>123438093</v>
      </c>
      <c r="E7" s="11">
        <f t="shared" si="0"/>
        <v>123438093</v>
      </c>
      <c r="F7" s="9">
        <v>7792</v>
      </c>
      <c r="G7" s="9">
        <v>80</v>
      </c>
      <c r="H7" s="12">
        <f t="shared" si="1"/>
        <v>7872</v>
      </c>
      <c r="I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24.75" customHeight="1" x14ac:dyDescent="0.2">
      <c r="A8" s="8" t="s">
        <v>26</v>
      </c>
      <c r="B8" s="9">
        <v>6</v>
      </c>
      <c r="C8" s="9" t="s">
        <v>6</v>
      </c>
      <c r="D8" s="10">
        <v>66311566</v>
      </c>
      <c r="E8" s="11">
        <f t="shared" si="0"/>
        <v>66311566</v>
      </c>
      <c r="F8" s="9">
        <v>8750</v>
      </c>
      <c r="G8" s="9">
        <v>19</v>
      </c>
      <c r="H8" s="12">
        <f t="shared" si="1"/>
        <v>8769</v>
      </c>
      <c r="I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24.75" customHeight="1" x14ac:dyDescent="0.2">
      <c r="A9" s="8" t="s">
        <v>27</v>
      </c>
      <c r="B9" s="9">
        <v>7</v>
      </c>
      <c r="C9" s="9" t="s">
        <v>6</v>
      </c>
      <c r="D9" s="9">
        <v>116094582</v>
      </c>
      <c r="E9" s="11">
        <f t="shared" si="0"/>
        <v>116094582</v>
      </c>
      <c r="F9" s="9">
        <v>9362</v>
      </c>
      <c r="G9" s="9">
        <v>430</v>
      </c>
      <c r="H9" s="12">
        <f t="shared" si="1"/>
        <v>9792</v>
      </c>
      <c r="I9" s="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24.75" customHeight="1" x14ac:dyDescent="0.2">
      <c r="A10" s="8" t="s">
        <v>28</v>
      </c>
      <c r="B10" s="9">
        <v>8</v>
      </c>
      <c r="C10" s="9" t="s">
        <v>6</v>
      </c>
      <c r="D10" s="10">
        <v>123438096</v>
      </c>
      <c r="E10" s="11">
        <f t="shared" si="0"/>
        <v>123438096</v>
      </c>
      <c r="F10" s="9">
        <v>7481</v>
      </c>
      <c r="G10" s="9">
        <v>80</v>
      </c>
      <c r="H10" s="12">
        <f t="shared" si="1"/>
        <v>7561</v>
      </c>
      <c r="I10" s="1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24.75" customHeight="1" x14ac:dyDescent="0.2">
      <c r="A11" s="8" t="s">
        <v>29</v>
      </c>
      <c r="B11" s="9">
        <v>9</v>
      </c>
      <c r="C11" s="9" t="s">
        <v>6</v>
      </c>
      <c r="D11" s="9">
        <v>25808003</v>
      </c>
      <c r="E11" s="11">
        <f t="shared" si="0"/>
        <v>25808003</v>
      </c>
      <c r="F11" s="9">
        <v>7911</v>
      </c>
      <c r="G11" s="9">
        <v>240</v>
      </c>
      <c r="H11" s="12">
        <f t="shared" si="1"/>
        <v>8151</v>
      </c>
      <c r="I11" s="13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24.75" customHeight="1" x14ac:dyDescent="0.2">
      <c r="A12" s="8" t="s">
        <v>30</v>
      </c>
      <c r="B12" s="9">
        <v>9</v>
      </c>
      <c r="C12" s="9" t="s">
        <v>6</v>
      </c>
      <c r="D12" s="9">
        <v>24228471</v>
      </c>
      <c r="E12" s="11">
        <f t="shared" si="0"/>
        <v>24228471</v>
      </c>
      <c r="F12" s="9">
        <v>5889</v>
      </c>
      <c r="G12" s="9">
        <v>50</v>
      </c>
      <c r="H12" s="12">
        <f t="shared" si="1"/>
        <v>5939</v>
      </c>
      <c r="I12" s="13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24.75" customHeight="1" x14ac:dyDescent="0.2">
      <c r="A13" s="8" t="s">
        <v>31</v>
      </c>
      <c r="B13" s="9">
        <v>10</v>
      </c>
      <c r="C13" s="9" t="s">
        <v>6</v>
      </c>
      <c r="D13" s="10">
        <v>123438098</v>
      </c>
      <c r="E13" s="11">
        <f t="shared" si="0"/>
        <v>123438098</v>
      </c>
      <c r="F13" s="9">
        <v>14457</v>
      </c>
      <c r="G13" s="9">
        <v>80</v>
      </c>
      <c r="H13" s="12">
        <f t="shared" si="1"/>
        <v>14537</v>
      </c>
      <c r="I13" s="13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24.75" customHeight="1" x14ac:dyDescent="0.2">
      <c r="A14" s="8" t="s">
        <v>32</v>
      </c>
      <c r="B14" s="9">
        <v>11</v>
      </c>
      <c r="C14" s="9" t="s">
        <v>6</v>
      </c>
      <c r="D14" s="9">
        <v>129714826</v>
      </c>
      <c r="E14" s="11">
        <f t="shared" si="0"/>
        <v>129714826</v>
      </c>
      <c r="F14" s="9">
        <v>8900</v>
      </c>
      <c r="G14" s="9">
        <v>19</v>
      </c>
      <c r="H14" s="12">
        <f t="shared" si="1"/>
        <v>8919</v>
      </c>
      <c r="I14" s="13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24.75" customHeight="1" x14ac:dyDescent="0.2">
      <c r="A15" s="8" t="s">
        <v>33</v>
      </c>
      <c r="B15" s="9">
        <v>12</v>
      </c>
      <c r="C15" s="9" t="s">
        <v>6</v>
      </c>
      <c r="D15" s="10">
        <v>124678412</v>
      </c>
      <c r="E15" s="11">
        <f t="shared" si="0"/>
        <v>124678412</v>
      </c>
      <c r="F15" s="9">
        <v>8750</v>
      </c>
      <c r="G15" s="9">
        <v>130</v>
      </c>
      <c r="H15" s="12">
        <f t="shared" si="1"/>
        <v>8880</v>
      </c>
      <c r="I15" s="13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24.75" customHeight="1" x14ac:dyDescent="0.2">
      <c r="A16" s="8" t="s">
        <v>34</v>
      </c>
      <c r="B16" s="9">
        <v>13</v>
      </c>
      <c r="C16" s="9" t="s">
        <v>6</v>
      </c>
      <c r="D16" s="9">
        <v>116094601</v>
      </c>
      <c r="E16" s="11">
        <f t="shared" si="0"/>
        <v>116094601</v>
      </c>
      <c r="F16" s="9">
        <v>7032</v>
      </c>
      <c r="G16" s="9">
        <v>460</v>
      </c>
      <c r="H16" s="12">
        <f t="shared" si="1"/>
        <v>7492</v>
      </c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24.75" customHeight="1" x14ac:dyDescent="0.2">
      <c r="A17" s="8" t="s">
        <v>35</v>
      </c>
      <c r="B17" s="9">
        <v>14</v>
      </c>
      <c r="C17" s="9" t="s">
        <v>6</v>
      </c>
      <c r="D17" s="9">
        <v>124678416</v>
      </c>
      <c r="E17" s="11">
        <f t="shared" si="0"/>
        <v>124678416</v>
      </c>
      <c r="F17" s="9">
        <v>6496</v>
      </c>
      <c r="G17" s="9">
        <v>130</v>
      </c>
      <c r="H17" s="12">
        <f t="shared" si="1"/>
        <v>6626</v>
      </c>
      <c r="I17" s="1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24.75" customHeight="1" x14ac:dyDescent="0.2">
      <c r="A18" s="8" t="s">
        <v>36</v>
      </c>
      <c r="B18" s="9">
        <v>15</v>
      </c>
      <c r="C18" s="9" t="s">
        <v>6</v>
      </c>
      <c r="D18" s="9">
        <v>91277882</v>
      </c>
      <c r="E18" s="11">
        <f t="shared" si="0"/>
        <v>91277882</v>
      </c>
      <c r="F18" s="9">
        <v>13591</v>
      </c>
      <c r="G18" s="9">
        <v>605</v>
      </c>
      <c r="H18" s="12">
        <f t="shared" si="1"/>
        <v>14196</v>
      </c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24.75" customHeight="1" x14ac:dyDescent="0.2">
      <c r="A19" s="8" t="s">
        <v>37</v>
      </c>
      <c r="B19" s="9">
        <v>16</v>
      </c>
      <c r="C19" s="9" t="s">
        <v>6</v>
      </c>
      <c r="D19" s="9">
        <v>101778370</v>
      </c>
      <c r="E19" s="11">
        <f t="shared" si="0"/>
        <v>101778370</v>
      </c>
      <c r="F19" s="9">
        <v>8558</v>
      </c>
      <c r="G19" s="9">
        <v>222</v>
      </c>
      <c r="H19" s="12">
        <f t="shared" si="1"/>
        <v>8780</v>
      </c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24.75" customHeight="1" x14ac:dyDescent="0.2">
      <c r="A20" s="16" t="s">
        <v>38</v>
      </c>
      <c r="B20" s="9">
        <v>19</v>
      </c>
      <c r="C20" s="9" t="s">
        <v>8</v>
      </c>
      <c r="D20" s="9">
        <v>24132725</v>
      </c>
      <c r="E20" s="11">
        <f t="shared" si="0"/>
        <v>24132725</v>
      </c>
      <c r="F20" s="9">
        <v>2250</v>
      </c>
      <c r="G20" s="9">
        <v>0</v>
      </c>
      <c r="H20" s="12">
        <f t="shared" si="1"/>
        <v>2250</v>
      </c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24.75" customHeight="1" x14ac:dyDescent="0.2">
      <c r="A21" s="16" t="s">
        <v>39</v>
      </c>
      <c r="B21" s="9">
        <v>20</v>
      </c>
      <c r="C21" s="9" t="s">
        <v>6</v>
      </c>
      <c r="D21" s="9">
        <v>58634834</v>
      </c>
      <c r="E21" s="11">
        <f t="shared" si="0"/>
        <v>58634834</v>
      </c>
      <c r="F21" s="9">
        <v>1025</v>
      </c>
      <c r="G21" s="9">
        <v>100</v>
      </c>
      <c r="H21" s="12">
        <f t="shared" si="1"/>
        <v>1125</v>
      </c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24" customHeight="1" x14ac:dyDescent="0.2">
      <c r="A22" s="16" t="s">
        <v>9</v>
      </c>
      <c r="B22" s="9">
        <v>21</v>
      </c>
      <c r="C22" s="9" t="s">
        <v>10</v>
      </c>
      <c r="D22" s="9">
        <v>129410708</v>
      </c>
      <c r="E22" s="11">
        <f t="shared" si="0"/>
        <v>129410708</v>
      </c>
      <c r="F22" s="9">
        <v>734</v>
      </c>
      <c r="G22" s="9">
        <v>87</v>
      </c>
      <c r="H22" s="12">
        <f t="shared" si="1"/>
        <v>821</v>
      </c>
    </row>
    <row r="23" spans="1:28" ht="24.75" customHeight="1" x14ac:dyDescent="0.2">
      <c r="A23" s="16" t="s">
        <v>40</v>
      </c>
      <c r="B23" s="9">
        <v>22</v>
      </c>
      <c r="C23" s="9" t="s">
        <v>6</v>
      </c>
      <c r="D23" s="9">
        <v>58634833</v>
      </c>
      <c r="E23" s="11">
        <f t="shared" si="0"/>
        <v>58634833</v>
      </c>
      <c r="F23" s="9">
        <v>1025</v>
      </c>
      <c r="G23" s="9">
        <v>100</v>
      </c>
      <c r="H23" s="12">
        <f t="shared" si="1"/>
        <v>1125</v>
      </c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24.75" customHeight="1" x14ac:dyDescent="0.2">
      <c r="A24" s="16" t="s">
        <v>41</v>
      </c>
      <c r="B24" s="9">
        <v>24</v>
      </c>
      <c r="C24" s="9" t="s">
        <v>7</v>
      </c>
      <c r="D24" s="9">
        <v>28889369</v>
      </c>
      <c r="E24" s="11">
        <f t="shared" si="0"/>
        <v>28889369</v>
      </c>
      <c r="F24" s="9">
        <v>2500</v>
      </c>
      <c r="G24" s="9">
        <v>0</v>
      </c>
      <c r="H24" s="12">
        <f t="shared" si="1"/>
        <v>2500</v>
      </c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24.75" customHeight="1" x14ac:dyDescent="0.2">
      <c r="A25" s="16" t="s">
        <v>42</v>
      </c>
      <c r="B25" s="9">
        <v>24</v>
      </c>
      <c r="C25" s="9" t="s">
        <v>6</v>
      </c>
      <c r="D25" s="9">
        <v>74617059</v>
      </c>
      <c r="E25" s="11">
        <f t="shared" si="0"/>
        <v>74617059</v>
      </c>
      <c r="F25" s="9">
        <v>1914</v>
      </c>
      <c r="G25" s="9">
        <v>240</v>
      </c>
      <c r="H25" s="12">
        <f t="shared" si="1"/>
        <v>2154</v>
      </c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24.75" customHeight="1" x14ac:dyDescent="0.2">
      <c r="A26" s="16" t="s">
        <v>43</v>
      </c>
      <c r="B26" s="9">
        <v>26</v>
      </c>
      <c r="C26" s="9" t="s">
        <v>6</v>
      </c>
      <c r="D26" s="9">
        <v>74436132</v>
      </c>
      <c r="E26" s="11">
        <f t="shared" si="0"/>
        <v>74436132</v>
      </c>
      <c r="F26" s="9">
        <v>300</v>
      </c>
      <c r="G26" s="9">
        <v>130</v>
      </c>
      <c r="H26" s="12">
        <f t="shared" si="1"/>
        <v>430</v>
      </c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24.75" customHeight="1" x14ac:dyDescent="0.2">
      <c r="A27" s="16" t="s">
        <v>44</v>
      </c>
      <c r="B27" s="9">
        <v>27</v>
      </c>
      <c r="C27" s="9" t="s">
        <v>6</v>
      </c>
      <c r="D27" s="9">
        <v>74436733</v>
      </c>
      <c r="E27" s="11">
        <f t="shared" si="0"/>
        <v>74436733</v>
      </c>
      <c r="F27" s="9">
        <v>330</v>
      </c>
      <c r="G27" s="9">
        <v>130</v>
      </c>
      <c r="H27" s="12">
        <f t="shared" si="1"/>
        <v>460</v>
      </c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24.75" customHeight="1" x14ac:dyDescent="0.2">
      <c r="A28" s="16" t="s">
        <v>45</v>
      </c>
      <c r="B28" s="9">
        <v>28</v>
      </c>
      <c r="C28" s="9" t="s">
        <v>6</v>
      </c>
      <c r="D28" s="9">
        <v>74436731</v>
      </c>
      <c r="E28" s="11">
        <f t="shared" si="0"/>
        <v>74436731</v>
      </c>
      <c r="F28" s="9">
        <v>330</v>
      </c>
      <c r="G28" s="9">
        <v>130</v>
      </c>
      <c r="H28" s="12">
        <f t="shared" si="1"/>
        <v>460</v>
      </c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24.75" customHeight="1" x14ac:dyDescent="0.2">
      <c r="A29" s="16" t="s">
        <v>46</v>
      </c>
      <c r="B29" s="9">
        <v>29</v>
      </c>
      <c r="C29" s="9" t="s">
        <v>11</v>
      </c>
      <c r="D29" s="9">
        <v>129410713</v>
      </c>
      <c r="E29" s="11">
        <f t="shared" si="0"/>
        <v>129410713</v>
      </c>
      <c r="F29" s="9">
        <v>510</v>
      </c>
      <c r="G29" s="9">
        <v>87</v>
      </c>
      <c r="H29" s="12">
        <f t="shared" si="1"/>
        <v>597</v>
      </c>
      <c r="I29" s="13"/>
      <c r="J29" s="1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24.75" customHeight="1" x14ac:dyDescent="0.2">
      <c r="A30" s="16" t="s">
        <v>47</v>
      </c>
      <c r="B30" s="9">
        <v>30</v>
      </c>
      <c r="C30" s="9" t="s">
        <v>6</v>
      </c>
      <c r="D30" s="9">
        <v>58634780</v>
      </c>
      <c r="E30" s="11">
        <f t="shared" si="0"/>
        <v>58634780</v>
      </c>
      <c r="F30" s="9">
        <v>1025</v>
      </c>
      <c r="G30" s="9">
        <v>100</v>
      </c>
      <c r="H30" s="12">
        <f t="shared" si="1"/>
        <v>1125</v>
      </c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24.75" customHeight="1" x14ac:dyDescent="0.2">
      <c r="A31" s="16" t="s">
        <v>48</v>
      </c>
      <c r="B31" s="9">
        <v>36</v>
      </c>
      <c r="C31" s="9" t="s">
        <v>6</v>
      </c>
      <c r="D31" s="10">
        <v>129410730</v>
      </c>
      <c r="E31" s="11">
        <f t="shared" si="0"/>
        <v>129410730</v>
      </c>
      <c r="F31" s="9">
        <v>510</v>
      </c>
      <c r="G31" s="9">
        <v>87</v>
      </c>
      <c r="H31" s="12">
        <f t="shared" si="1"/>
        <v>597</v>
      </c>
      <c r="I31" s="13"/>
      <c r="J31" s="7"/>
      <c r="K31" s="1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24.75" customHeight="1" x14ac:dyDescent="0.2">
      <c r="A32" s="16" t="s">
        <v>49</v>
      </c>
      <c r="B32" s="9">
        <v>37</v>
      </c>
      <c r="C32" s="9" t="s">
        <v>6</v>
      </c>
      <c r="D32" s="9">
        <v>74436730</v>
      </c>
      <c r="E32" s="11">
        <f t="shared" si="0"/>
        <v>74436730</v>
      </c>
      <c r="F32" s="9">
        <v>330</v>
      </c>
      <c r="G32" s="9">
        <v>130</v>
      </c>
      <c r="H32" s="12">
        <f t="shared" si="1"/>
        <v>460</v>
      </c>
      <c r="I32" s="13"/>
      <c r="J32" s="18"/>
      <c r="K32" s="1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24.75" customHeight="1" x14ac:dyDescent="0.2">
      <c r="A33" s="16" t="s">
        <v>50</v>
      </c>
      <c r="B33" s="9">
        <v>42</v>
      </c>
      <c r="C33" s="9" t="s">
        <v>7</v>
      </c>
      <c r="D33" s="9">
        <v>62099564</v>
      </c>
      <c r="E33" s="11">
        <f t="shared" si="0"/>
        <v>62099564</v>
      </c>
      <c r="F33" s="9">
        <v>5455</v>
      </c>
      <c r="G33" s="9">
        <v>138</v>
      </c>
      <c r="H33" s="12">
        <f t="shared" si="1"/>
        <v>5593</v>
      </c>
      <c r="I33" s="1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24.75" customHeight="1" x14ac:dyDescent="0.2">
      <c r="A34" s="16" t="s">
        <v>51</v>
      </c>
      <c r="B34" s="9">
        <v>42</v>
      </c>
      <c r="C34" s="9" t="s">
        <v>8</v>
      </c>
      <c r="D34" s="9">
        <v>129410657</v>
      </c>
      <c r="E34" s="11">
        <f t="shared" si="0"/>
        <v>129410657</v>
      </c>
      <c r="F34" s="9">
        <v>2070</v>
      </c>
      <c r="G34" s="9">
        <v>87</v>
      </c>
      <c r="H34" s="12">
        <f t="shared" si="1"/>
        <v>2157</v>
      </c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24.75" customHeight="1" x14ac:dyDescent="0.2">
      <c r="A35" s="16" t="s">
        <v>52</v>
      </c>
      <c r="B35" s="9">
        <v>42</v>
      </c>
      <c r="C35" s="9" t="s">
        <v>6</v>
      </c>
      <c r="D35" s="9">
        <v>74617056</v>
      </c>
      <c r="E35" s="11">
        <f t="shared" si="0"/>
        <v>74617056</v>
      </c>
      <c r="F35" s="9">
        <v>1189</v>
      </c>
      <c r="G35" s="9">
        <v>240</v>
      </c>
      <c r="H35" s="12">
        <f t="shared" si="1"/>
        <v>1429</v>
      </c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24.75" customHeight="1" x14ac:dyDescent="0.2">
      <c r="A36" s="16" t="s">
        <v>53</v>
      </c>
      <c r="B36" s="9">
        <v>43</v>
      </c>
      <c r="C36" s="9" t="s">
        <v>6</v>
      </c>
      <c r="D36" s="9">
        <v>58634810</v>
      </c>
      <c r="E36" s="11">
        <f t="shared" si="0"/>
        <v>58634810</v>
      </c>
      <c r="F36" s="9">
        <v>1025</v>
      </c>
      <c r="G36" s="9">
        <v>100</v>
      </c>
      <c r="H36" s="12">
        <f t="shared" si="1"/>
        <v>1125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24.75" customHeight="1" x14ac:dyDescent="0.2">
      <c r="A37" s="19" t="s">
        <v>54</v>
      </c>
      <c r="B37" s="9">
        <v>44</v>
      </c>
      <c r="C37" s="9" t="s">
        <v>8</v>
      </c>
      <c r="D37" s="9">
        <v>129410659</v>
      </c>
      <c r="E37" s="11">
        <f t="shared" si="0"/>
        <v>129410659</v>
      </c>
      <c r="F37" s="9">
        <v>2074</v>
      </c>
      <c r="G37" s="9">
        <v>87</v>
      </c>
      <c r="H37" s="12">
        <f t="shared" si="1"/>
        <v>2161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24.75" customHeight="1" x14ac:dyDescent="0.2">
      <c r="A38" s="16" t="s">
        <v>55</v>
      </c>
      <c r="B38" s="9">
        <v>45</v>
      </c>
      <c r="C38" s="9" t="s">
        <v>8</v>
      </c>
      <c r="D38" s="9">
        <v>129410660</v>
      </c>
      <c r="E38" s="11">
        <f t="shared" si="0"/>
        <v>129410660</v>
      </c>
      <c r="F38" s="9">
        <v>1116</v>
      </c>
      <c r="G38" s="9">
        <v>87</v>
      </c>
      <c r="H38" s="12">
        <f t="shared" si="1"/>
        <v>1203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24.75" customHeight="1" x14ac:dyDescent="0.2">
      <c r="A39" s="16" t="s">
        <v>56</v>
      </c>
      <c r="B39" s="9">
        <v>47</v>
      </c>
      <c r="C39" s="9" t="s">
        <v>6</v>
      </c>
      <c r="D39" s="9">
        <v>137886346</v>
      </c>
      <c r="E39" s="11">
        <f t="shared" si="0"/>
        <v>137886346</v>
      </c>
      <c r="F39" s="9">
        <v>528</v>
      </c>
      <c r="G39" s="9">
        <v>20</v>
      </c>
      <c r="H39" s="12">
        <f t="shared" si="1"/>
        <v>548</v>
      </c>
      <c r="I39" s="20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24.75" customHeight="1" x14ac:dyDescent="0.2">
      <c r="A40" s="16" t="s">
        <v>56</v>
      </c>
      <c r="B40" s="9">
        <v>47</v>
      </c>
      <c r="C40" s="9" t="s">
        <v>8</v>
      </c>
      <c r="D40" s="9">
        <v>129410661</v>
      </c>
      <c r="E40" s="11">
        <f t="shared" si="0"/>
        <v>129410661</v>
      </c>
      <c r="F40" s="9">
        <v>1116</v>
      </c>
      <c r="G40" s="9">
        <v>87</v>
      </c>
      <c r="H40" s="12">
        <f t="shared" si="1"/>
        <v>1203</v>
      </c>
      <c r="I40" s="20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24.75" customHeight="1" x14ac:dyDescent="0.2">
      <c r="A41" s="16" t="s">
        <v>57</v>
      </c>
      <c r="B41" s="9">
        <v>48</v>
      </c>
      <c r="C41" s="9" t="s">
        <v>8</v>
      </c>
      <c r="D41" s="9">
        <v>129410665</v>
      </c>
      <c r="E41" s="11">
        <f t="shared" si="0"/>
        <v>129410665</v>
      </c>
      <c r="F41" s="9">
        <v>1180</v>
      </c>
      <c r="G41" s="9">
        <v>87</v>
      </c>
      <c r="H41" s="12">
        <f t="shared" si="1"/>
        <v>1267</v>
      </c>
      <c r="I41" s="2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24.75" customHeight="1" x14ac:dyDescent="0.2">
      <c r="A42" s="16" t="s">
        <v>58</v>
      </c>
      <c r="B42" s="9">
        <v>49</v>
      </c>
      <c r="C42" s="9" t="s">
        <v>8</v>
      </c>
      <c r="D42" s="9">
        <v>137886345</v>
      </c>
      <c r="E42" s="11">
        <f t="shared" si="0"/>
        <v>137886345</v>
      </c>
      <c r="F42" s="9">
        <v>654</v>
      </c>
      <c r="G42" s="9">
        <v>20</v>
      </c>
      <c r="H42" s="12">
        <f t="shared" si="1"/>
        <v>674</v>
      </c>
      <c r="I42" s="20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24.75" customHeight="1" x14ac:dyDescent="0.2">
      <c r="A43" s="16" t="s">
        <v>59</v>
      </c>
      <c r="B43" s="9">
        <v>50</v>
      </c>
      <c r="C43" s="9" t="s">
        <v>8</v>
      </c>
      <c r="D43" s="9">
        <v>58634839</v>
      </c>
      <c r="E43" s="11">
        <f t="shared" si="0"/>
        <v>58634839</v>
      </c>
      <c r="F43" s="9">
        <v>1025</v>
      </c>
      <c r="G43" s="9">
        <v>100</v>
      </c>
      <c r="H43" s="12">
        <f t="shared" si="1"/>
        <v>1125</v>
      </c>
      <c r="I43" s="20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24.75" customHeight="1" x14ac:dyDescent="0.2">
      <c r="A44" s="19" t="s">
        <v>60</v>
      </c>
      <c r="B44" s="9">
        <v>52</v>
      </c>
      <c r="C44" s="9" t="s">
        <v>6</v>
      </c>
      <c r="D44" s="9">
        <v>65856622</v>
      </c>
      <c r="E44" s="11">
        <f t="shared" si="0"/>
        <v>65856622</v>
      </c>
      <c r="F44" s="9">
        <v>1900</v>
      </c>
      <c r="G44" s="9">
        <v>433</v>
      </c>
      <c r="H44" s="12">
        <f t="shared" si="1"/>
        <v>2333</v>
      </c>
      <c r="I44" s="20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24.75" customHeight="1" x14ac:dyDescent="0.2">
      <c r="A45" s="16" t="s">
        <v>61</v>
      </c>
      <c r="B45" s="9">
        <v>54</v>
      </c>
      <c r="C45" s="9" t="s">
        <v>6</v>
      </c>
      <c r="D45" s="9">
        <v>58634850</v>
      </c>
      <c r="E45" s="11">
        <f t="shared" si="0"/>
        <v>58634850</v>
      </c>
      <c r="F45" s="9">
        <v>1025</v>
      </c>
      <c r="G45" s="9">
        <v>100</v>
      </c>
      <c r="H45" s="12">
        <f t="shared" si="1"/>
        <v>1125</v>
      </c>
      <c r="I45" s="2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24.75" customHeight="1" x14ac:dyDescent="0.2">
      <c r="A46" s="16" t="s">
        <v>62</v>
      </c>
      <c r="B46" s="9">
        <v>57</v>
      </c>
      <c r="C46" s="9" t="s">
        <v>6</v>
      </c>
      <c r="D46" s="9">
        <v>129410649</v>
      </c>
      <c r="E46" s="11">
        <f t="shared" si="0"/>
        <v>129410649</v>
      </c>
      <c r="F46" s="9">
        <v>542</v>
      </c>
      <c r="G46" s="9">
        <v>87</v>
      </c>
      <c r="H46" s="12">
        <f t="shared" si="1"/>
        <v>629</v>
      </c>
      <c r="I46" s="2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24.75" customHeight="1" x14ac:dyDescent="0.2">
      <c r="A47" s="19" t="s">
        <v>63</v>
      </c>
      <c r="B47" s="9">
        <v>58</v>
      </c>
      <c r="C47" s="9" t="s">
        <v>6</v>
      </c>
      <c r="D47" s="9">
        <v>90846867</v>
      </c>
      <c r="E47" s="11">
        <f t="shared" si="0"/>
        <v>90846867</v>
      </c>
      <c r="F47" s="9">
        <v>1617</v>
      </c>
      <c r="G47" s="9">
        <v>138</v>
      </c>
      <c r="H47" s="12">
        <f t="shared" si="1"/>
        <v>1755</v>
      </c>
      <c r="I47" s="2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24.75" customHeight="1" x14ac:dyDescent="0.2">
      <c r="A48" s="16" t="s">
        <v>64</v>
      </c>
      <c r="B48" s="9">
        <v>60</v>
      </c>
      <c r="C48" s="9" t="s">
        <v>8</v>
      </c>
      <c r="D48" s="9">
        <v>126950194</v>
      </c>
      <c r="E48" s="11">
        <f t="shared" si="0"/>
        <v>126950194</v>
      </c>
      <c r="F48" s="9">
        <v>1310</v>
      </c>
      <c r="G48" s="9">
        <v>20</v>
      </c>
      <c r="H48" s="12">
        <f t="shared" si="1"/>
        <v>1330</v>
      </c>
      <c r="I48" s="2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24.75" customHeight="1" x14ac:dyDescent="0.2">
      <c r="A49" s="16" t="s">
        <v>65</v>
      </c>
      <c r="B49" s="9">
        <v>60</v>
      </c>
      <c r="C49" s="9" t="s">
        <v>11</v>
      </c>
      <c r="D49" s="9">
        <v>137886344</v>
      </c>
      <c r="E49" s="11">
        <f t="shared" si="0"/>
        <v>137886344</v>
      </c>
      <c r="F49" s="9">
        <v>687</v>
      </c>
      <c r="G49" s="9">
        <v>20</v>
      </c>
      <c r="H49" s="12">
        <f t="shared" si="1"/>
        <v>707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24.75" customHeight="1" x14ac:dyDescent="0.2">
      <c r="A50" s="19" t="s">
        <v>66</v>
      </c>
      <c r="B50" s="9">
        <v>63</v>
      </c>
      <c r="C50" s="9" t="s">
        <v>7</v>
      </c>
      <c r="D50" s="9">
        <v>65856624</v>
      </c>
      <c r="E50" s="11">
        <f t="shared" si="0"/>
        <v>65856624</v>
      </c>
      <c r="F50" s="9">
        <v>8900</v>
      </c>
      <c r="G50" s="9">
        <v>138</v>
      </c>
      <c r="H50" s="12">
        <f t="shared" si="1"/>
        <v>9038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24.75" customHeight="1" x14ac:dyDescent="0.2">
      <c r="A51" s="16" t="s">
        <v>67</v>
      </c>
      <c r="B51" s="9">
        <v>64</v>
      </c>
      <c r="C51" s="9" t="s">
        <v>6</v>
      </c>
      <c r="D51" s="9">
        <v>58634855</v>
      </c>
      <c r="E51" s="11">
        <f t="shared" si="0"/>
        <v>58634855</v>
      </c>
      <c r="F51" s="9">
        <v>1025</v>
      </c>
      <c r="G51" s="9">
        <v>100</v>
      </c>
      <c r="H51" s="12">
        <f t="shared" si="1"/>
        <v>1125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24.75" customHeight="1" x14ac:dyDescent="0.2">
      <c r="A52" s="16" t="s">
        <v>68</v>
      </c>
      <c r="B52" s="9">
        <v>66</v>
      </c>
      <c r="C52" s="9" t="s">
        <v>6</v>
      </c>
      <c r="D52" s="9">
        <v>58634858</v>
      </c>
      <c r="E52" s="11">
        <f t="shared" si="0"/>
        <v>58634858</v>
      </c>
      <c r="F52" s="9">
        <v>1025</v>
      </c>
      <c r="G52" s="9">
        <v>100</v>
      </c>
      <c r="H52" s="12">
        <f t="shared" si="1"/>
        <v>1125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24.75" customHeight="1" x14ac:dyDescent="0.2">
      <c r="A53" s="16" t="s">
        <v>69</v>
      </c>
      <c r="B53" s="9">
        <v>70</v>
      </c>
      <c r="C53" s="9" t="s">
        <v>6</v>
      </c>
      <c r="D53" s="9">
        <v>129410655</v>
      </c>
      <c r="E53" s="11">
        <f t="shared" si="0"/>
        <v>129410655</v>
      </c>
      <c r="F53" s="9">
        <v>766</v>
      </c>
      <c r="G53" s="9">
        <v>87</v>
      </c>
      <c r="H53" s="12">
        <f t="shared" si="1"/>
        <v>853</v>
      </c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24.75" customHeight="1" x14ac:dyDescent="0.2">
      <c r="A54" s="16" t="s">
        <v>70</v>
      </c>
      <c r="B54" s="9">
        <v>73</v>
      </c>
      <c r="C54" s="9" t="s">
        <v>6</v>
      </c>
      <c r="D54" s="9">
        <v>70951490</v>
      </c>
      <c r="E54" s="11">
        <f t="shared" si="0"/>
        <v>70951490</v>
      </c>
      <c r="F54" s="9">
        <v>210</v>
      </c>
      <c r="G54" s="9">
        <v>130</v>
      </c>
      <c r="H54" s="12">
        <f t="shared" si="1"/>
        <v>340</v>
      </c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24.75" customHeight="1" x14ac:dyDescent="0.2">
      <c r="A55" s="16" t="s">
        <v>71</v>
      </c>
      <c r="B55" s="9">
        <v>78</v>
      </c>
      <c r="C55" s="9" t="s">
        <v>6</v>
      </c>
      <c r="D55" s="9">
        <v>129410758</v>
      </c>
      <c r="E55" s="11">
        <f t="shared" si="0"/>
        <v>129410758</v>
      </c>
      <c r="F55" s="9">
        <v>542</v>
      </c>
      <c r="G55" s="9">
        <v>87</v>
      </c>
      <c r="H55" s="12">
        <f t="shared" si="1"/>
        <v>629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24.75" customHeight="1" x14ac:dyDescent="0.2">
      <c r="A56" s="16" t="s">
        <v>72</v>
      </c>
      <c r="B56" s="9">
        <v>79</v>
      </c>
      <c r="C56" s="9" t="s">
        <v>6</v>
      </c>
      <c r="D56" s="9">
        <v>129410757</v>
      </c>
      <c r="E56" s="11">
        <f t="shared" si="0"/>
        <v>129410757</v>
      </c>
      <c r="F56" s="9">
        <v>510</v>
      </c>
      <c r="G56" s="9">
        <v>87</v>
      </c>
      <c r="H56" s="12">
        <f t="shared" si="1"/>
        <v>597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24.75" customHeight="1" x14ac:dyDescent="0.2">
      <c r="A57" s="16" t="s">
        <v>73</v>
      </c>
      <c r="B57" s="9">
        <v>81</v>
      </c>
      <c r="C57" s="9" t="s">
        <v>6</v>
      </c>
      <c r="D57" s="9">
        <v>129410755</v>
      </c>
      <c r="E57" s="11">
        <f t="shared" si="0"/>
        <v>129410755</v>
      </c>
      <c r="F57" s="9">
        <v>510</v>
      </c>
      <c r="G57" s="9">
        <v>87</v>
      </c>
      <c r="H57" s="12">
        <f t="shared" si="1"/>
        <v>597</v>
      </c>
      <c r="I57" s="7"/>
      <c r="J57" s="13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24.75" customHeight="1" x14ac:dyDescent="0.2">
      <c r="A58" s="16" t="s">
        <v>74</v>
      </c>
      <c r="B58" s="9">
        <v>94</v>
      </c>
      <c r="C58" s="9" t="s">
        <v>8</v>
      </c>
      <c r="D58" s="9">
        <v>129410772</v>
      </c>
      <c r="E58" s="11">
        <f t="shared" si="0"/>
        <v>129410772</v>
      </c>
      <c r="F58" s="9">
        <v>1188</v>
      </c>
      <c r="G58" s="9">
        <v>87</v>
      </c>
      <c r="H58" s="12">
        <f t="shared" si="1"/>
        <v>1275</v>
      </c>
      <c r="I58" s="7"/>
      <c r="J58" s="13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24.75" customHeight="1" x14ac:dyDescent="0.2">
      <c r="A59" s="2" t="s">
        <v>75</v>
      </c>
      <c r="B59" s="1">
        <v>800</v>
      </c>
      <c r="C59" s="9" t="s">
        <v>7</v>
      </c>
      <c r="D59" s="9">
        <v>67303809</v>
      </c>
      <c r="E59" s="11">
        <f t="shared" si="0"/>
        <v>67303809</v>
      </c>
      <c r="F59" s="1">
        <v>1195</v>
      </c>
      <c r="G59" s="9">
        <v>57</v>
      </c>
      <c r="H59" s="12">
        <f t="shared" si="1"/>
        <v>1252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4.75" customHeight="1" x14ac:dyDescent="0.2">
      <c r="A60" s="2"/>
      <c r="B60" s="1"/>
      <c r="C60" s="21"/>
      <c r="D60" s="21"/>
      <c r="E60" s="21"/>
      <c r="F60" s="1"/>
      <c r="G60" s="9"/>
      <c r="H60" s="12">
        <f t="shared" si="1"/>
        <v>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24.75" customHeight="1" x14ac:dyDescent="0.2">
      <c r="A61" s="2"/>
      <c r="B61" s="1"/>
      <c r="C61" s="21"/>
      <c r="D61" s="21"/>
      <c r="E61" s="21"/>
      <c r="F61" s="1"/>
      <c r="G61" s="9"/>
      <c r="H61" s="12">
        <f t="shared" si="1"/>
        <v>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24.75" customHeight="1" x14ac:dyDescent="0.2">
      <c r="A62" s="2"/>
      <c r="B62" s="1"/>
      <c r="C62" s="21"/>
      <c r="D62" s="21"/>
      <c r="E62" s="21"/>
      <c r="F62" s="1"/>
      <c r="G62" s="9"/>
      <c r="H62" s="12">
        <f t="shared" si="1"/>
        <v>0</v>
      </c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24.75" customHeight="1" x14ac:dyDescent="0.2">
      <c r="A63" s="2"/>
      <c r="B63" s="1"/>
      <c r="C63" s="21"/>
      <c r="D63" s="21"/>
      <c r="E63" s="21"/>
      <c r="F63" s="1"/>
      <c r="G63" s="9"/>
      <c r="H63" s="12">
        <f t="shared" si="1"/>
        <v>0</v>
      </c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24.75" customHeight="1" x14ac:dyDescent="0.2">
      <c r="A64" s="2"/>
      <c r="B64" s="1"/>
      <c r="C64" s="21"/>
      <c r="D64" s="21"/>
      <c r="E64" s="21"/>
      <c r="F64" s="1"/>
      <c r="G64" s="9"/>
      <c r="H64" s="12">
        <f t="shared" si="1"/>
        <v>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24.75" customHeight="1" x14ac:dyDescent="0.2">
      <c r="A65" s="2"/>
      <c r="B65" s="1"/>
      <c r="C65" s="21"/>
      <c r="D65" s="21"/>
      <c r="E65" s="21"/>
      <c r="F65" s="1"/>
      <c r="G65" s="9"/>
      <c r="H65" s="12">
        <f t="shared" si="1"/>
        <v>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24.75" customHeight="1" x14ac:dyDescent="0.2">
      <c r="A66" s="2"/>
      <c r="B66" s="1"/>
      <c r="C66" s="21"/>
      <c r="D66" s="21"/>
      <c r="E66" s="21"/>
      <c r="F66" s="1"/>
      <c r="G66" s="9"/>
      <c r="H66" s="12">
        <f t="shared" si="1"/>
        <v>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24.75" customHeight="1" x14ac:dyDescent="0.2">
      <c r="A67" s="2"/>
      <c r="B67" s="1"/>
      <c r="C67" s="21"/>
      <c r="D67" s="21"/>
      <c r="E67" s="21"/>
      <c r="F67" s="1"/>
      <c r="G67" s="9"/>
      <c r="H67" s="12">
        <f t="shared" si="1"/>
        <v>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24.75" customHeight="1" x14ac:dyDescent="0.2">
      <c r="A68" s="2"/>
      <c r="B68" s="1"/>
      <c r="C68" s="21"/>
      <c r="D68" s="21"/>
      <c r="E68" s="21"/>
      <c r="F68" s="1"/>
      <c r="G68" s="9"/>
      <c r="H68" s="12">
        <f t="shared" si="1"/>
        <v>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24.75" customHeight="1" x14ac:dyDescent="0.2">
      <c r="A69" s="2"/>
      <c r="B69" s="1"/>
      <c r="C69" s="21"/>
      <c r="D69" s="21"/>
      <c r="E69" s="21"/>
      <c r="F69" s="1"/>
      <c r="G69" s="9"/>
      <c r="H69" s="12">
        <f t="shared" si="1"/>
        <v>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24.75" customHeight="1" x14ac:dyDescent="0.2">
      <c r="A70" s="2"/>
      <c r="B70" s="1"/>
      <c r="C70" s="21"/>
      <c r="D70" s="21"/>
      <c r="E70" s="21"/>
      <c r="F70" s="1"/>
      <c r="G70" s="9"/>
      <c r="H70" s="12">
        <f t="shared" si="1"/>
        <v>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24.75" customHeight="1" x14ac:dyDescent="0.2">
      <c r="A71" s="2"/>
      <c r="B71" s="1"/>
      <c r="C71" s="21"/>
      <c r="D71" s="21"/>
      <c r="E71" s="21"/>
      <c r="F71" s="1"/>
      <c r="G71" s="9"/>
      <c r="H71" s="12">
        <f t="shared" si="1"/>
        <v>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24.75" customHeight="1" x14ac:dyDescent="0.2">
      <c r="A72" s="2"/>
      <c r="B72" s="1"/>
      <c r="C72" s="21"/>
      <c r="D72" s="21"/>
      <c r="E72" s="21"/>
      <c r="F72" s="1"/>
      <c r="G72" s="9"/>
      <c r="H72" s="12">
        <f t="shared" si="1"/>
        <v>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24.75" customHeight="1" x14ac:dyDescent="0.2">
      <c r="A73" s="2"/>
      <c r="B73" s="1"/>
      <c r="C73" s="21"/>
      <c r="D73" s="21"/>
      <c r="E73" s="21"/>
      <c r="F73" s="1"/>
      <c r="G73" s="9"/>
      <c r="H73" s="12">
        <f t="shared" si="1"/>
        <v>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24.75" customHeight="1" x14ac:dyDescent="0.2">
      <c r="A74" s="2"/>
      <c r="B74" s="1"/>
      <c r="C74" s="21"/>
      <c r="D74" s="21"/>
      <c r="E74" s="21"/>
      <c r="F74" s="1"/>
      <c r="G74" s="9"/>
      <c r="H74" s="12">
        <f t="shared" si="1"/>
        <v>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24.75" customHeight="1" x14ac:dyDescent="0.2">
      <c r="A75" s="2"/>
      <c r="B75" s="1"/>
      <c r="C75" s="21"/>
      <c r="D75" s="21"/>
      <c r="E75" s="21"/>
      <c r="F75" s="1"/>
      <c r="G75" s="9"/>
      <c r="H75" s="12">
        <f t="shared" si="1"/>
        <v>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24.75" customHeight="1" x14ac:dyDescent="0.2">
      <c r="A76" s="2"/>
      <c r="B76" s="1"/>
      <c r="C76" s="21"/>
      <c r="D76" s="21"/>
      <c r="E76" s="21"/>
      <c r="F76" s="1"/>
      <c r="G76" s="9"/>
      <c r="H76" s="12">
        <f t="shared" si="1"/>
        <v>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24.75" customHeight="1" x14ac:dyDescent="0.2">
      <c r="A77" s="2"/>
      <c r="B77" s="1"/>
      <c r="C77" s="21"/>
      <c r="D77" s="21"/>
      <c r="E77" s="21"/>
      <c r="F77" s="1"/>
      <c r="G77" s="9"/>
      <c r="H77" s="12">
        <f t="shared" si="1"/>
        <v>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24.75" customHeight="1" x14ac:dyDescent="0.2">
      <c r="A78" s="2"/>
      <c r="B78" s="1"/>
      <c r="C78" s="21"/>
      <c r="D78" s="21"/>
      <c r="E78" s="21"/>
      <c r="F78" s="1"/>
      <c r="G78" s="9"/>
      <c r="H78" s="12">
        <f t="shared" si="1"/>
        <v>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24.75" customHeight="1" x14ac:dyDescent="0.2">
      <c r="A79" s="2"/>
      <c r="B79" s="1"/>
      <c r="C79" s="21"/>
      <c r="D79" s="21"/>
      <c r="E79" s="21"/>
      <c r="F79" s="1"/>
      <c r="G79" s="9"/>
      <c r="H79" s="12">
        <f t="shared" si="1"/>
        <v>0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24.75" customHeight="1" x14ac:dyDescent="0.2">
      <c r="A80" s="2"/>
      <c r="B80" s="1"/>
      <c r="C80" s="21"/>
      <c r="D80" s="21"/>
      <c r="E80" s="21"/>
      <c r="F80" s="1"/>
      <c r="G80" s="1"/>
      <c r="H80" s="12">
        <f t="shared" si="1"/>
        <v>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24.75" customHeight="1" x14ac:dyDescent="0.2">
      <c r="A81" s="2"/>
      <c r="B81" s="1"/>
      <c r="C81" s="21"/>
      <c r="D81" s="21"/>
      <c r="E81" s="21"/>
      <c r="F81" s="1"/>
      <c r="G81" s="1"/>
      <c r="H81" s="12">
        <f t="shared" si="1"/>
        <v>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24.75" customHeight="1" x14ac:dyDescent="0.2">
      <c r="A82" s="2"/>
      <c r="B82" s="1"/>
      <c r="C82" s="21"/>
      <c r="D82" s="21"/>
      <c r="E82" s="21"/>
      <c r="F82" s="1"/>
      <c r="G82" s="1"/>
      <c r="H82" s="12">
        <f t="shared" si="1"/>
        <v>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24.75" customHeight="1" x14ac:dyDescent="0.2">
      <c r="A83" s="2"/>
      <c r="B83" s="1"/>
      <c r="C83" s="21"/>
      <c r="D83" s="21"/>
      <c r="E83" s="21"/>
      <c r="F83" s="1"/>
      <c r="G83" s="1"/>
      <c r="H83" s="12">
        <f t="shared" si="1"/>
        <v>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24.75" customHeight="1" x14ac:dyDescent="0.2">
      <c r="A84" s="2"/>
      <c r="B84" s="1"/>
      <c r="C84" s="21"/>
      <c r="D84" s="21"/>
      <c r="E84" s="21"/>
      <c r="F84" s="1"/>
      <c r="G84" s="1"/>
      <c r="H84" s="12">
        <f t="shared" si="1"/>
        <v>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24.75" customHeight="1" x14ac:dyDescent="0.2">
      <c r="A85" s="2"/>
      <c r="B85" s="1"/>
      <c r="C85" s="21"/>
      <c r="D85" s="21"/>
      <c r="E85" s="21"/>
      <c r="F85" s="1"/>
      <c r="G85" s="1"/>
      <c r="H85" s="12">
        <f t="shared" si="1"/>
        <v>0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24.75" customHeight="1" x14ac:dyDescent="0.2">
      <c r="A86" s="2"/>
      <c r="B86" s="1"/>
      <c r="C86" s="21"/>
      <c r="D86" s="21"/>
      <c r="E86" s="21"/>
      <c r="F86" s="1"/>
      <c r="G86" s="1"/>
      <c r="H86" s="12">
        <f t="shared" si="1"/>
        <v>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24.75" customHeight="1" x14ac:dyDescent="0.2">
      <c r="A87" s="2"/>
      <c r="B87" s="1"/>
      <c r="C87" s="21"/>
      <c r="D87" s="21"/>
      <c r="E87" s="21"/>
      <c r="F87" s="1"/>
      <c r="G87" s="1"/>
      <c r="H87" s="12">
        <f t="shared" si="1"/>
        <v>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24.75" customHeight="1" x14ac:dyDescent="0.2">
      <c r="A88" s="2"/>
      <c r="B88" s="1"/>
      <c r="C88" s="21"/>
      <c r="D88" s="21"/>
      <c r="E88" s="21"/>
      <c r="F88" s="1"/>
      <c r="G88" s="1"/>
      <c r="H88" s="12">
        <f t="shared" si="1"/>
        <v>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24.75" customHeight="1" x14ac:dyDescent="0.2">
      <c r="A89" s="2"/>
      <c r="B89" s="1"/>
      <c r="C89" s="21"/>
      <c r="D89" s="21"/>
      <c r="E89" s="21"/>
      <c r="F89" s="1"/>
      <c r="G89" s="1"/>
      <c r="H89" s="12">
        <f t="shared" si="1"/>
        <v>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24.75" customHeight="1" x14ac:dyDescent="0.2">
      <c r="A90" s="2"/>
      <c r="B90" s="1"/>
      <c r="C90" s="21"/>
      <c r="D90" s="21"/>
      <c r="E90" s="21"/>
      <c r="F90" s="1"/>
      <c r="G90" s="1"/>
      <c r="H90" s="12">
        <f t="shared" si="1"/>
        <v>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24.75" customHeight="1" x14ac:dyDescent="0.2">
      <c r="A91" s="2"/>
      <c r="B91" s="1"/>
      <c r="C91" s="21"/>
      <c r="D91" s="21"/>
      <c r="E91" s="21"/>
      <c r="F91" s="1"/>
      <c r="G91" s="1"/>
      <c r="H91" s="12">
        <f t="shared" si="1"/>
        <v>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24.75" customHeight="1" x14ac:dyDescent="0.2">
      <c r="A92" s="2"/>
      <c r="B92" s="1"/>
      <c r="C92" s="21"/>
      <c r="D92" s="21"/>
      <c r="E92" s="21"/>
      <c r="F92" s="1"/>
      <c r="G92" s="1"/>
      <c r="H92" s="12">
        <f t="shared" si="1"/>
        <v>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24.75" customHeight="1" x14ac:dyDescent="0.2">
      <c r="A93" s="2"/>
      <c r="B93" s="1"/>
      <c r="C93" s="21"/>
      <c r="D93" s="21"/>
      <c r="E93" s="21"/>
      <c r="F93" s="1"/>
      <c r="G93" s="1"/>
      <c r="H93" s="12">
        <f t="shared" si="1"/>
        <v>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24.75" customHeight="1" x14ac:dyDescent="0.2">
      <c r="A94" s="2"/>
      <c r="B94" s="1"/>
      <c r="C94" s="21"/>
      <c r="D94" s="21"/>
      <c r="E94" s="21"/>
      <c r="F94" s="1"/>
      <c r="G94" s="1"/>
      <c r="H94" s="12">
        <f t="shared" si="1"/>
        <v>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24.75" customHeight="1" x14ac:dyDescent="0.2">
      <c r="A95" s="2"/>
      <c r="B95" s="1"/>
      <c r="C95" s="21"/>
      <c r="D95" s="21"/>
      <c r="E95" s="21"/>
      <c r="F95" s="1"/>
      <c r="G95" s="1"/>
      <c r="H95" s="12">
        <f t="shared" si="1"/>
        <v>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24.75" customHeight="1" x14ac:dyDescent="0.2">
      <c r="A96" s="2"/>
      <c r="B96" s="1"/>
      <c r="C96" s="21"/>
      <c r="D96" s="21"/>
      <c r="E96" s="21"/>
      <c r="F96" s="1"/>
      <c r="G96" s="1"/>
      <c r="H96" s="12">
        <f t="shared" si="1"/>
        <v>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24.75" customHeight="1" x14ac:dyDescent="0.2">
      <c r="A97" s="2"/>
      <c r="B97" s="1"/>
      <c r="C97" s="21"/>
      <c r="D97" s="21"/>
      <c r="E97" s="21"/>
      <c r="F97" s="1"/>
      <c r="G97" s="1"/>
      <c r="H97" s="12">
        <f t="shared" si="1"/>
        <v>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24.75" customHeight="1" x14ac:dyDescent="0.2">
      <c r="A98" s="2"/>
      <c r="B98" s="1"/>
      <c r="C98" s="21"/>
      <c r="D98" s="21"/>
      <c r="E98" s="21"/>
      <c r="F98" s="1"/>
      <c r="G98" s="1"/>
      <c r="H98" s="12">
        <f t="shared" si="1"/>
        <v>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24.75" customHeight="1" x14ac:dyDescent="0.2">
      <c r="A99" s="2"/>
      <c r="B99" s="1"/>
      <c r="C99" s="21"/>
      <c r="D99" s="21"/>
      <c r="E99" s="21"/>
      <c r="F99" s="1"/>
      <c r="G99" s="1"/>
      <c r="H99" s="12">
        <f t="shared" si="1"/>
        <v>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24.75" customHeight="1" x14ac:dyDescent="0.2">
      <c r="A100" s="2"/>
      <c r="B100" s="1"/>
      <c r="C100" s="21"/>
      <c r="D100" s="21"/>
      <c r="E100" s="21"/>
      <c r="F100" s="1"/>
      <c r="G100" s="1"/>
      <c r="H100" s="12">
        <f t="shared" si="1"/>
        <v>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24.75" customHeight="1" x14ac:dyDescent="0.2">
      <c r="A101" s="2"/>
      <c r="B101" s="1"/>
      <c r="C101" s="21"/>
      <c r="D101" s="21"/>
      <c r="E101" s="21"/>
      <c r="F101" s="1"/>
      <c r="G101" s="1"/>
      <c r="H101" s="12">
        <f t="shared" si="1"/>
        <v>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24.75" customHeight="1" x14ac:dyDescent="0.2">
      <c r="A102" s="2"/>
      <c r="B102" s="1"/>
      <c r="C102" s="21"/>
      <c r="D102" s="21"/>
      <c r="E102" s="21"/>
      <c r="F102" s="1"/>
      <c r="G102" s="1"/>
      <c r="H102" s="12">
        <f t="shared" si="1"/>
        <v>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24.75" customHeight="1" x14ac:dyDescent="0.2">
      <c r="A103" s="2"/>
      <c r="B103" s="1"/>
      <c r="C103" s="21"/>
      <c r="D103" s="21"/>
      <c r="E103" s="21"/>
      <c r="F103" s="1"/>
      <c r="G103" s="1"/>
      <c r="H103" s="12">
        <f t="shared" si="1"/>
        <v>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24.75" customHeight="1" x14ac:dyDescent="0.2">
      <c r="A104" s="2"/>
      <c r="B104" s="1"/>
      <c r="C104" s="21"/>
      <c r="D104" s="21"/>
      <c r="E104" s="21"/>
      <c r="F104" s="1"/>
      <c r="G104" s="1"/>
      <c r="H104" s="12">
        <f t="shared" si="1"/>
        <v>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24.75" customHeight="1" x14ac:dyDescent="0.2">
      <c r="A105" s="2"/>
      <c r="B105" s="1"/>
      <c r="C105" s="21"/>
      <c r="D105" s="21"/>
      <c r="E105" s="21"/>
      <c r="F105" s="1"/>
      <c r="G105" s="1"/>
      <c r="H105" s="12">
        <f t="shared" si="1"/>
        <v>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24.75" customHeight="1" x14ac:dyDescent="0.2">
      <c r="A106" s="2"/>
      <c r="B106" s="1"/>
      <c r="C106" s="21"/>
      <c r="D106" s="21"/>
      <c r="E106" s="21"/>
      <c r="F106" s="1"/>
      <c r="G106" s="1"/>
      <c r="H106" s="12">
        <f t="shared" si="1"/>
        <v>0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24.75" customHeight="1" x14ac:dyDescent="0.2">
      <c r="A107" s="2"/>
      <c r="B107" s="1"/>
      <c r="C107" s="21"/>
      <c r="D107" s="21"/>
      <c r="E107" s="21"/>
      <c r="F107" s="1"/>
      <c r="G107" s="1"/>
      <c r="H107" s="12">
        <f t="shared" si="1"/>
        <v>0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24.75" customHeight="1" x14ac:dyDescent="0.2">
      <c r="A108" s="2"/>
      <c r="B108" s="1"/>
      <c r="C108" s="21"/>
      <c r="D108" s="21"/>
      <c r="E108" s="21"/>
      <c r="F108" s="1"/>
      <c r="G108" s="1"/>
      <c r="H108" s="12">
        <f t="shared" si="1"/>
        <v>0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24.75" customHeight="1" x14ac:dyDescent="0.2">
      <c r="A109" s="2"/>
      <c r="B109" s="1"/>
      <c r="C109" s="21"/>
      <c r="D109" s="21"/>
      <c r="E109" s="21"/>
      <c r="F109" s="1"/>
      <c r="G109" s="1"/>
      <c r="H109" s="12">
        <f t="shared" si="1"/>
        <v>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24.75" customHeight="1" x14ac:dyDescent="0.2">
      <c r="A110" s="2"/>
      <c r="B110" s="1"/>
      <c r="C110" s="21"/>
      <c r="D110" s="21"/>
      <c r="E110" s="21"/>
      <c r="F110" s="1"/>
      <c r="G110" s="1"/>
      <c r="H110" s="12">
        <f t="shared" si="1"/>
        <v>0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24.75" customHeight="1" x14ac:dyDescent="0.2">
      <c r="A111" s="2"/>
      <c r="B111" s="1"/>
      <c r="C111" s="21"/>
      <c r="D111" s="21"/>
      <c r="E111" s="21"/>
      <c r="F111" s="1"/>
      <c r="G111" s="1"/>
      <c r="H111" s="12">
        <f t="shared" si="1"/>
        <v>0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24.75" customHeight="1" x14ac:dyDescent="0.2">
      <c r="A112" s="2"/>
      <c r="B112" s="1"/>
      <c r="C112" s="21"/>
      <c r="D112" s="21"/>
      <c r="E112" s="21"/>
      <c r="F112" s="1"/>
      <c r="G112" s="1"/>
      <c r="H112" s="12">
        <f t="shared" si="1"/>
        <v>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24.75" customHeight="1" x14ac:dyDescent="0.2">
      <c r="A113" s="2"/>
      <c r="B113" s="1"/>
      <c r="C113" s="21"/>
      <c r="D113" s="21"/>
      <c r="E113" s="21"/>
      <c r="F113" s="1"/>
      <c r="G113" s="1"/>
      <c r="H113" s="12">
        <f t="shared" si="1"/>
        <v>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24.75" customHeight="1" x14ac:dyDescent="0.2">
      <c r="A114" s="2"/>
      <c r="B114" s="1"/>
      <c r="C114" s="21"/>
      <c r="D114" s="21"/>
      <c r="E114" s="21"/>
      <c r="F114" s="1"/>
      <c r="G114" s="1"/>
      <c r="H114" s="12">
        <f t="shared" si="1"/>
        <v>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24.75" customHeight="1" x14ac:dyDescent="0.2">
      <c r="A115" s="2"/>
      <c r="B115" s="1"/>
      <c r="C115" s="21"/>
      <c r="D115" s="21"/>
      <c r="E115" s="21"/>
      <c r="F115" s="1"/>
      <c r="G115" s="1"/>
      <c r="H115" s="12">
        <f t="shared" si="1"/>
        <v>0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24.75" customHeight="1" x14ac:dyDescent="0.2">
      <c r="A116" s="2"/>
      <c r="B116" s="1"/>
      <c r="C116" s="21"/>
      <c r="D116" s="21"/>
      <c r="E116" s="21"/>
      <c r="F116" s="1"/>
      <c r="G116" s="1"/>
      <c r="H116" s="12">
        <f t="shared" si="1"/>
        <v>0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24.75" customHeight="1" x14ac:dyDescent="0.2">
      <c r="A117" s="2"/>
      <c r="B117" s="1"/>
      <c r="C117" s="21"/>
      <c r="D117" s="21"/>
      <c r="E117" s="21"/>
      <c r="F117" s="1"/>
      <c r="G117" s="1"/>
      <c r="H117" s="12">
        <f t="shared" si="1"/>
        <v>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24.75" customHeight="1" x14ac:dyDescent="0.2">
      <c r="A118" s="2"/>
      <c r="B118" s="1"/>
      <c r="C118" s="21"/>
      <c r="D118" s="21"/>
      <c r="E118" s="21"/>
      <c r="F118" s="1"/>
      <c r="G118" s="1"/>
      <c r="H118" s="12">
        <f t="shared" si="1"/>
        <v>0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24.75" customHeight="1" x14ac:dyDescent="0.2">
      <c r="A119" s="2"/>
      <c r="B119" s="1"/>
      <c r="C119" s="21"/>
      <c r="D119" s="21"/>
      <c r="E119" s="21"/>
      <c r="F119" s="1"/>
      <c r="G119" s="1"/>
      <c r="H119" s="12">
        <f t="shared" si="1"/>
        <v>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24.75" customHeight="1" x14ac:dyDescent="0.2">
      <c r="A120" s="2"/>
      <c r="B120" s="1"/>
      <c r="C120" s="21"/>
      <c r="D120" s="21"/>
      <c r="E120" s="21"/>
      <c r="F120" s="1"/>
      <c r="G120" s="1"/>
      <c r="H120" s="12">
        <f t="shared" si="1"/>
        <v>0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24.75" customHeight="1" x14ac:dyDescent="0.2">
      <c r="A121" s="2"/>
      <c r="B121" s="1"/>
      <c r="C121" s="21"/>
      <c r="D121" s="21"/>
      <c r="E121" s="21"/>
      <c r="F121" s="1"/>
      <c r="G121" s="1"/>
      <c r="H121" s="12">
        <f t="shared" si="1"/>
        <v>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24.75" customHeight="1" x14ac:dyDescent="0.2">
      <c r="A122" s="2"/>
      <c r="B122" s="1"/>
      <c r="C122" s="21"/>
      <c r="D122" s="21"/>
      <c r="E122" s="21"/>
      <c r="F122" s="1"/>
      <c r="G122" s="1"/>
      <c r="H122" s="12">
        <f t="shared" si="1"/>
        <v>0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24.75" customHeight="1" x14ac:dyDescent="0.2">
      <c r="A123" s="2"/>
      <c r="B123" s="1"/>
      <c r="C123" s="21"/>
      <c r="D123" s="21"/>
      <c r="E123" s="21"/>
      <c r="F123" s="1"/>
      <c r="G123" s="1"/>
      <c r="H123" s="12">
        <f t="shared" si="1"/>
        <v>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24.75" customHeight="1" x14ac:dyDescent="0.2">
      <c r="A124" s="2"/>
      <c r="B124" s="1"/>
      <c r="C124" s="21"/>
      <c r="D124" s="21"/>
      <c r="E124" s="21"/>
      <c r="F124" s="1"/>
      <c r="G124" s="1"/>
      <c r="H124" s="12">
        <f t="shared" si="1"/>
        <v>0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24.75" customHeight="1" x14ac:dyDescent="0.2">
      <c r="A125" s="2"/>
      <c r="B125" s="1"/>
      <c r="C125" s="21"/>
      <c r="D125" s="21"/>
      <c r="E125" s="21"/>
      <c r="F125" s="1"/>
      <c r="G125" s="1"/>
      <c r="H125" s="12">
        <f t="shared" si="1"/>
        <v>0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24.75" customHeight="1" x14ac:dyDescent="0.2">
      <c r="A126" s="2"/>
      <c r="B126" s="1"/>
      <c r="C126" s="21"/>
      <c r="D126" s="21"/>
      <c r="E126" s="21"/>
      <c r="F126" s="1"/>
      <c r="G126" s="1"/>
      <c r="H126" s="12">
        <f t="shared" si="1"/>
        <v>0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24.75" customHeight="1" x14ac:dyDescent="0.2">
      <c r="A127" s="2"/>
      <c r="B127" s="1"/>
      <c r="C127" s="21"/>
      <c r="D127" s="21"/>
      <c r="E127" s="21"/>
      <c r="F127" s="1"/>
      <c r="G127" s="1"/>
      <c r="H127" s="12">
        <f t="shared" si="1"/>
        <v>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24.75" customHeight="1" x14ac:dyDescent="0.2">
      <c r="A128" s="2"/>
      <c r="B128" s="1"/>
      <c r="C128" s="21"/>
      <c r="D128" s="21"/>
      <c r="E128" s="21"/>
      <c r="F128" s="1"/>
      <c r="G128" s="1"/>
      <c r="H128" s="12">
        <f t="shared" si="1"/>
        <v>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24.75" customHeight="1" x14ac:dyDescent="0.2">
      <c r="A129" s="2"/>
      <c r="B129" s="1"/>
      <c r="C129" s="21"/>
      <c r="D129" s="21"/>
      <c r="E129" s="21"/>
      <c r="F129" s="1"/>
      <c r="G129" s="1"/>
      <c r="H129" s="12">
        <f t="shared" si="1"/>
        <v>0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24.75" customHeight="1" x14ac:dyDescent="0.2">
      <c r="A130" s="2"/>
      <c r="B130" s="1"/>
      <c r="C130" s="21"/>
      <c r="D130" s="21"/>
      <c r="E130" s="21"/>
      <c r="F130" s="1"/>
      <c r="G130" s="1"/>
      <c r="H130" s="12">
        <f t="shared" si="1"/>
        <v>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24.75" customHeight="1" x14ac:dyDescent="0.2">
      <c r="A131" s="2"/>
      <c r="B131" s="1"/>
      <c r="C131" s="21"/>
      <c r="D131" s="21"/>
      <c r="E131" s="21"/>
      <c r="F131" s="1"/>
      <c r="G131" s="1"/>
      <c r="H131" s="12">
        <f t="shared" si="1"/>
        <v>0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24.75" customHeight="1" x14ac:dyDescent="0.2">
      <c r="A132" s="2"/>
      <c r="B132" s="1"/>
      <c r="C132" s="21"/>
      <c r="D132" s="21"/>
      <c r="E132" s="21"/>
      <c r="F132" s="1"/>
      <c r="G132" s="1"/>
      <c r="H132" s="12">
        <f t="shared" si="1"/>
        <v>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24.75" customHeight="1" x14ac:dyDescent="0.2">
      <c r="A133" s="2"/>
      <c r="B133" s="1"/>
      <c r="C133" s="21"/>
      <c r="D133" s="21"/>
      <c r="E133" s="21"/>
      <c r="F133" s="1"/>
      <c r="G133" s="1"/>
      <c r="H133" s="12">
        <f t="shared" si="1"/>
        <v>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24.75" customHeight="1" x14ac:dyDescent="0.2">
      <c r="A134" s="2"/>
      <c r="B134" s="1"/>
      <c r="C134" s="21"/>
      <c r="D134" s="21"/>
      <c r="E134" s="21"/>
      <c r="F134" s="1"/>
      <c r="G134" s="1"/>
      <c r="H134" s="12">
        <f t="shared" si="1"/>
        <v>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24.75" customHeight="1" x14ac:dyDescent="0.2">
      <c r="A135" s="2"/>
      <c r="B135" s="1"/>
      <c r="C135" s="21"/>
      <c r="D135" s="21"/>
      <c r="E135" s="21"/>
      <c r="F135" s="1"/>
      <c r="G135" s="1"/>
      <c r="H135" s="12">
        <f t="shared" si="1"/>
        <v>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24.75" customHeight="1" x14ac:dyDescent="0.2">
      <c r="A136" s="2"/>
      <c r="B136" s="1"/>
      <c r="C136" s="21"/>
      <c r="D136" s="21"/>
      <c r="E136" s="21"/>
      <c r="F136" s="1"/>
      <c r="G136" s="1"/>
      <c r="H136" s="12">
        <f t="shared" si="1"/>
        <v>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24.75" customHeight="1" x14ac:dyDescent="0.2">
      <c r="A137" s="22"/>
      <c r="B137" s="23"/>
      <c r="C137" s="23"/>
      <c r="D137" s="23"/>
      <c r="E137" s="23"/>
      <c r="F137" s="23"/>
      <c r="G137" s="24"/>
      <c r="H137" s="2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24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24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24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24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24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24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24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24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24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24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24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24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24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24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24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24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24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24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24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24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24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24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24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24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24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24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24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24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24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24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24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24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24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24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24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24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24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24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24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24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24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24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24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24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24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24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24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24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24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24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24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24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24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24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24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24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24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24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24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24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24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24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24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24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24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24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24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24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24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24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24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24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24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24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24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24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24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24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24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24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24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24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24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24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24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24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24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24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24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24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24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24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24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24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24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24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24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24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24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24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24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24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24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24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24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24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24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24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24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24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24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24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24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24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24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24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24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24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24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24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24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24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24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24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24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24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24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24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24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24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24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24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24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24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24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24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24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24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24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24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24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24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24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24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24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24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24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24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24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24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24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24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24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24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24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24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24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24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24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24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24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24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24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24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24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24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24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24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24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24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24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24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24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24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24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24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24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24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24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24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24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24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24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24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24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24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24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24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24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24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24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24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24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24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24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24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24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24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24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24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24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24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24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24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24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24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24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24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24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24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24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24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24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24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24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24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24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24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24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24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24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24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24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24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24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24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24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24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24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24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24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24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24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24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24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24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24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24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24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24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24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24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24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24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24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24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24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24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24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24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24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24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24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24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24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24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24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24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24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24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24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24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24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24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24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24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24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24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24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24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24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24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24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24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24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24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24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24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24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24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24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24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24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24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24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24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24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24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24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24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24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24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24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24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24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24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24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24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24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24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24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24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24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24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24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24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24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24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24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24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24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24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24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24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24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24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24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24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24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24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24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24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24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24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24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24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24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24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24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24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24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24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24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24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24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24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24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24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24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24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24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24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24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24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24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24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24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24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24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24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24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24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24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24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24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24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24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24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24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24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24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24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24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24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24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24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24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24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24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24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24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24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24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24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24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24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24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24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24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24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24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24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24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24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24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24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24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24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24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24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24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24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24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24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24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24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24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24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24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24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24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24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24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24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24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24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24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24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24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24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24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24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24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24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24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24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24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24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24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24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24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24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24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24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24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24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24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24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24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24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24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24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24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24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24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24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24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24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24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24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24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24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24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24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24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24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24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24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24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24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24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24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24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24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24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24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24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24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24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24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24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24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24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24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24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24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24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24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24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24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24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24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24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24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24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24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24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24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24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24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24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24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24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24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24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24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24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24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24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24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24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24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24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24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24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24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24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24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24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24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24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24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24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24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24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24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24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24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24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24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24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24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24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24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24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24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24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24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24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24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24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24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24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24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24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24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24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24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24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24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24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24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24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24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24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24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24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24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24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24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24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24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24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24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24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24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24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24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24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24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24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24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24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24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24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24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24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24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24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24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24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24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24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24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24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24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24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24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24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24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24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24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24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24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24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24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24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24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24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24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24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24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24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24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24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24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24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24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24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24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24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24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24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24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24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24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24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24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24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24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24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24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24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24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24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24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24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24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24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24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24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24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24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24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24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24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24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24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24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24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24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24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24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24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24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24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24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24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24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24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24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24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24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24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24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24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24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24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24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24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24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24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24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24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24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24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24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24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24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24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24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24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24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24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24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24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24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24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24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24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24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24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24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24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24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24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24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24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24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24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24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24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24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24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24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24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24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24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24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24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24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24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24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24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24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24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24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24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24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24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24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24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24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24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24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24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24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24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24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24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24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24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24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24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24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24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24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24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24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24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24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24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24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24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24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24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24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24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24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24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24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24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24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24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24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24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24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24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24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24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24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24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24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24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24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24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24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24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24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24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24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24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24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24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24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24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24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24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24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24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24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24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24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24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24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24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24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24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24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24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24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24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24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24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24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24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24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24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24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24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24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24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24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24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24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24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24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24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24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24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24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24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24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24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24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24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24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24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24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24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24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24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24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24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24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24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24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24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24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24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24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24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24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24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24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24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24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24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24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24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24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24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24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24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24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24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24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24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24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24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24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24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24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24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24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24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24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24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24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24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24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24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24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24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24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24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24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24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24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24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24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24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24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24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24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24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24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24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24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24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24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24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24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24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24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24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24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24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24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24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24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24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24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ht="24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ht="24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ht="24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1:28" ht="24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1:28" ht="24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ht="24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ht="24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1:28" ht="24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1:28" ht="24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1:28" ht="24.75" customHeight="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1:28" ht="24.75" customHeight="1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1:28" ht="24.75" customHeight="1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1:28" ht="24.75" customHeight="1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1:28" ht="24.75" customHeight="1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1:28" ht="24.75" customHeight="1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1:28" ht="24.75" customHeight="1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</sheetData>
  <autoFilter ref="A1:H137" xr:uid="{00000000-0009-0000-0000-000001000000}"/>
  <mergeCells count="3">
    <mergeCell ref="J1:K1"/>
    <mergeCell ref="L1:M1"/>
    <mergeCell ref="L2:M6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「PTCG(初代首刷收藏)」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陳泱亦</cp:lastModifiedBy>
  <dcterms:modified xsi:type="dcterms:W3CDTF">2026-04-13T04:29:00Z</dcterms:modified>
</cp:coreProperties>
</file>