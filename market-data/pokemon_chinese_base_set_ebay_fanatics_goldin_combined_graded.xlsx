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35ff39346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98e4aab16e41ae"/>
    <x:sheet xmlns:r="http://schemas.openxmlformats.org/officeDocument/2006/relationships" name="All Sales" sheetId="2" r:id="R7a7e06ac0a0e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#,##0"/>
    <x:numFmt numFmtId="203" formatCode="0.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334155"/>
      <x:name val="Carlito"/>
    </x:font>
    <x:font>
      <x:sz val="10"/>
      <x:name val="Carlito"/>
    </x:font>
    <x:font>
      <x:sz val="10"/>
      <x:color rgb="FF1D4ED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D97706"/>
      </x:patternFill>
    </x:fill>
  </x:fills>
  <x:borders count="12">
    <x:border/>
    <x:border>
      <x:left style="thin">
        <x:color rgb="FF115E59"/>
      </x:left>
      <x:top style="thin">
        <x:color rgb="FF115E59"/>
      </x:top>
      <x:bottom style="thin">
        <x:color rgb="FF115E59"/>
      </x:bottom>
    </x:border>
    <x:border>
      <x:top style="thin">
        <x:color rgb="FF115E59"/>
      </x:top>
      <x:bottom style="thin">
        <x:color rgb="FF115E59"/>
      </x:bottom>
    </x:border>
    <x:border>
      <x:right style="thin">
        <x:color rgb="FF115E59"/>
      </x:right>
      <x:top style="thin">
        <x:color rgb="FF115E59"/>
      </x:top>
      <x:bottom style="thin">
        <x:color rgb="FF115E59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059669"/>
      </x:left>
      <x:right style="thin">
        <x:color rgb="FF059669"/>
      </x:right>
      <x:top style="thin">
        <x:color rgb="FF059669"/>
      </x:top>
      <x:bottom style="thin">
        <x:color rgb="FF059669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45309"/>
      </x:left>
      <x:top style="thin">
        <x:color rgb="FFB45309"/>
      </x:top>
      <x:bottom style="thin">
        <x:color rgb="FFB45309"/>
      </x:bottom>
    </x:border>
    <x:border>
      <x:top style="thin">
        <x:color rgb="FFB45309"/>
      </x:top>
      <x:bottom style="thin">
        <x:color rgb="FFB45309"/>
      </x:bottom>
    </x:border>
    <x:border>
      <x:right style="thin">
        <x:color rgb="FFB45309"/>
      </x:right>
      <x:top style="thin">
        <x:color rgb="FFB45309"/>
      </x:top>
      <x:bottom style="thin">
        <x:color rgb="FFB4530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5" borderId="4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55661746841d5" /><Relationship Type="http://schemas.openxmlformats.org/officeDocument/2006/relationships/theme" Target="/xl/theme/theme1.xml" Id="R671f35d341af40b5" /><Relationship Type="http://schemas.openxmlformats.org/officeDocument/2006/relationships/sharedStrings" Target="/xl/sharedStrings.xml" Id="Rf24209f5b164401e" /><Relationship Type="http://schemas.openxmlformats.org/officeDocument/2006/relationships/worksheet" Target="/xl/worksheets/sheet1.xml" Id="Rec98e4aab16e41ae" /><Relationship Type="http://schemas.openxmlformats.org/officeDocument/2006/relationships/worksheet" Target="/xl/worksheets/sheet2.xml" Id="R7a7e06ac0a0e4609" /></Relationships>
</file>

<file path=xl/tables/table1.xml><?xml version="1.0" encoding="utf-8"?>
<x:table xmlns:x="http://schemas.openxmlformats.org/spreadsheetml/2006/main" id="1" name="AllSalesTable" displayName="AllSalesTable" ref="A4:M321" headerRowCount="1" totalsRowCount="0" totalsRowShown="0">
  <x:tableColumns count="13">
    <x:tableColumn id="1" name="Date"/>
    <x:tableColumn id="2" name="Card (EN)"/>
    <x:tableColumn id="3" name="Card (ZH)"/>
    <x:tableColumn id="4" name="Grade"/>
    <x:tableColumn id="5" name="Category"/>
    <x:tableColumn id="6" name="Listed Price (USD)"/>
    <x:tableColumn id="7" name="Actual Price (USD)"/>
    <x:tableColumn id="8" name="Original Price Display"/>
    <x:tableColumn id="9" name="Price (TWD)"/>
    <x:tableColumn id="10" name="Exchange Rate"/>
    <x:tableColumn id="11" name="Sale Type"/>
    <x:tableColumn id="12" name="Platform"/>
    <x:tableColumn id="13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2d49d8a7ab46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37.5" hidden="0" customWidth="1"/>
  </x:cols>
  <x:sheetData>
    <x:row r="1">
      <x:c r="A1" s="2" t="str">
        <x:v>Pokemon Chinese Base Set 1st Edition - eBay / Fanatics / Goldin</x:v>
      </x:c>
      <x:c r="B1" s="2"/>
      <x:c r="C1" s="2"/>
      <x:c r="D1" s="2"/>
      <x:c r="E1" s="2"/>
      <x:c r="F1" s="2"/>
      <x:c r="G1" s="2"/>
      <x:c r="H1" s="2"/>
    </x:row>
    <x:row r="2">
      <x:c r="A2" s="4" t="str">
        <x:v>Combined sold records. Grades are parsed from each listing title and checked against the source grade label. Signed, sealed/pack lots and non-card lots are excluded.</x:v>
      </x:c>
      <x:c r="B2" s="4"/>
      <x:c r="C2" s="4"/>
      <x:c r="D2" s="4"/>
      <x:c r="E2" s="4"/>
      <x:c r="F2" s="4"/>
      <x:c r="G2" s="4"/>
      <x:c r="H2" s="4"/>
    </x:row>
    <x:row r="4">
      <x:c r="A4" s="7" t="str">
        <x:v>Platform</x:v>
      </x:c>
      <x:c r="B4" s="8" t="str">
        <x:v>Record Count</x:v>
      </x:c>
      <x:c r="C4" s="8" t="str">
        <x:v>PSA</x:v>
      </x:c>
      <x:c r="D4" s="8" t="str">
        <x:v>BGS</x:v>
      </x:c>
      <x:c r="E4" s="8" t="str">
        <x:v>CGC</x:v>
      </x:c>
      <x:c r="F4" s="8" t="str">
        <x:v>Raw</x:v>
      </x:c>
      <x:c r="G4" s="8" t="str">
        <x:v>Best Offer</x:v>
      </x:c>
      <x:c r="H4" s="9" t="str">
        <x:v>Scope</x:v>
      </x:c>
    </x:row>
    <x:row r="5">
      <x:c r="A5" s="10" t="str">
        <x:v>eBay via 130point</x:v>
      </x:c>
      <x:c r="B5" s="10" t="n">
        <x:f>COUNTIF('All Sales'!L5:L321,$A5)</x:f>
        <x:v>37</x:v>
      </x:c>
      <x:c r="C5" s="10" t="n">
        <x:f>COUNTIFS('All Sales'!L5:L321,$A5,'All Sales'!E5:E321,"PSA")</x:f>
        <x:v>23</x:v>
      </x:c>
      <x:c r="D5" s="10" t="n">
        <x:f>COUNTIFS('All Sales'!L5:L321,$A5,'All Sales'!E5:E321,"BGS")</x:f>
        <x:v>0</x:v>
      </x:c>
      <x:c r="E5" s="10" t="n">
        <x:f>COUNTIFS('All Sales'!L5:L321,$A5,'All Sales'!E5:E321,"CGC")</x:f>
        <x:v>9</x:v>
      </x:c>
      <x:c r="F5" s="10" t="n">
        <x:f>COUNTIFS('All Sales'!L5:L321,$A5,'All Sales'!E5:E321,"Raw")</x:f>
        <x:v>5</x:v>
      </x:c>
      <x:c r="G5" s="10" t="n">
        <x:f>COUNTIFS('All Sales'!L5:L321,$A5,'All Sales'!K5:K321,"Best Offer Accepted")</x:f>
        <x:v>15</x:v>
      </x:c>
      <x:c r="H5" s="10" t="str">
        <x:v>130point verified eBay, recent 12 months</x:v>
      </x:c>
    </x:row>
    <x:row r="6">
      <x:c r="A6" s="10" t="str">
        <x:v>Fanatics</x:v>
      </x:c>
      <x:c r="B6" s="10" t="n">
        <x:f>COUNTIF('All Sales'!L5:L321,$A6)</x:f>
        <x:v>277</x:v>
      </x:c>
      <x:c r="C6" s="10" t="n">
        <x:f>COUNTIFS('All Sales'!L5:L321,$A6,'All Sales'!E5:E321,"PSA")</x:f>
        <x:v>175</x:v>
      </x:c>
      <x:c r="D6" s="10" t="n">
        <x:f>COUNTIFS('All Sales'!L5:L321,$A6,'All Sales'!E5:E321,"BGS")</x:f>
        <x:v>3</x:v>
      </x:c>
      <x:c r="E6" s="10" t="n">
        <x:f>COUNTIFS('All Sales'!L5:L321,$A6,'All Sales'!E5:E321,"CGC")</x:f>
        <x:v>99</x:v>
      </x:c>
      <x:c r="F6" s="10" t="n">
        <x:f>COUNTIFS('All Sales'!L5:L321,$A6,'All Sales'!E5:E321,"Raw")</x:f>
        <x:v>0</x:v>
      </x:c>
      <x:c r="G6" s="10" t="n">
        <x:f>COUNTIFS('All Sales'!L5:L321,$A6,'All Sales'!K5:K321,"Best Offer Accepted")</x:f>
        <x:v>0</x:v>
      </x:c>
      <x:c r="H6" s="10" t="str">
        <x:v>Fanatics records already collected</x:v>
      </x:c>
    </x:row>
    <x:row r="7">
      <x:c r="A7" s="10" t="str">
        <x:v>Goldin</x:v>
      </x:c>
      <x:c r="B7" s="10" t="n">
        <x:f>COUNTIF('All Sales'!L5:L321,$A7)</x:f>
        <x:v>3</x:v>
      </x:c>
      <x:c r="C7" s="10" t="n">
        <x:f>COUNTIFS('All Sales'!L5:L321,$A7,'All Sales'!E5:E321,"PSA")</x:f>
        <x:v>3</x:v>
      </x:c>
      <x:c r="D7" s="10" t="n">
        <x:f>COUNTIFS('All Sales'!L5:L321,$A7,'All Sales'!E5:E321,"BGS")</x:f>
        <x:v>0</x:v>
      </x:c>
      <x:c r="E7" s="10" t="n">
        <x:f>COUNTIFS('All Sales'!L5:L321,$A7,'All Sales'!E5:E321,"CGC")</x:f>
        <x:v>0</x:v>
      </x:c>
      <x:c r="F7" s="10" t="n">
        <x:f>COUNTIFS('All Sales'!L5:L321,$A7,'All Sales'!E5:E321,"Raw")</x:f>
        <x:v>0</x:v>
      </x:c>
      <x:c r="G7" s="10" t="n">
        <x:f>COUNTIFS('All Sales'!L5:L321,$A7,'All Sales'!K5:K321,"Best Offer Accepted")</x:f>
        <x:v>0</x:v>
      </x:c>
      <x:c r="H7" s="10" t="str">
        <x:v>Goldin records identified in 130point result set</x:v>
      </x:c>
    </x:row>
    <x:row r="8">
      <x:c r="A8" s="13" t="str">
        <x:v>Total</x:v>
      </x:c>
      <x:c r="B8" s="13" t="n">
        <x:f>COUNTA('All Sales'!A5:A321)</x:f>
        <x:v>317</x:v>
      </x:c>
      <x:c r="C8" s="13" t="n">
        <x:f>COUNTIF('All Sales'!E5:E321,"PSA")</x:f>
        <x:v>201</x:v>
      </x:c>
      <x:c r="D8" s="13" t="n">
        <x:f>COUNTIF('All Sales'!E5:E321,"BGS")</x:f>
        <x:v>3</x:v>
      </x:c>
      <x:c r="E8" s="13" t="n">
        <x:f>COUNTIF('All Sales'!E5:E321,"CGC")</x:f>
        <x:v>108</x:v>
      </x:c>
      <x:c r="F8" s="13" t="n">
        <x:f>COUNTIF('All Sales'!E5:E321,"Raw")</x:f>
        <x:v>5</x:v>
      </x:c>
      <x:c r="G8" s="13" t="n">
        <x:f>COUNTIF('All Sales'!K5:K321,"Best Offer Accepted")</x:f>
        <x:v>15</x:v>
      </x:c>
      <x:c r="H8" s="13" t="str">
        <x:v>All included records</x:v>
      </x:c>
    </x:row>
    <x:row r="10">
      <x:c r="A10" s="16" t="str">
        <x:v>Note: Grades parsed from titles; AUTH retained. Goldin older dates kept. Gengar CGC 9: eBay only; no CGC 9 Best Offer.</x:v>
      </x:c>
      <x:c r="B10" s="17"/>
      <x:c r="C10" s="17"/>
      <x:c r="D10" s="17"/>
      <x:c r="E10" s="17"/>
      <x:c r="F10" s="17"/>
      <x:c r="G10" s="17"/>
      <x:c r="H10" s="18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" hidden="0" customWidth="1"/>
    <x:col min="3" max="3" width="11.880000114440918" hidden="0" customWidth="1"/>
    <x:col min="4" max="4" width="14.380000114440918" hidden="0" customWidth="1"/>
    <x:col min="5" max="5" width="9.380000114440918" hidden="0" customWidth="1"/>
    <x:col min="6" max="6" width="13.130000114440918" hidden="0" customWidth="1"/>
    <x:col min="7" max="7" width="13.130000114440918" hidden="0" customWidth="1"/>
    <x:col min="8" max="8" width="18.1299991607666" hidden="0" customWidth="1"/>
    <x:col min="9" max="9" width="11.880000114440918" hidden="0" customWidth="1"/>
    <x:col min="10" max="10" width="11.880000114440918" hidden="0" customWidth="1"/>
    <x:col min="11" max="11" width="15.630000114440918" hidden="0" customWidth="1"/>
    <x:col min="12" max="12" width="18.1299991607666" hidden="0" customWidth="1"/>
    <x:col min="13" max="13" width="48.75" hidden="0" customWidth="1"/>
  </x:cols>
  <x:sheetData>
    <x:row r="1">
      <x:c r="A1" s="2" t="str">
        <x:v>All Sales - 24 Base Set Pokemon + Gengar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4" t="str">
        <x:v>Unified detail table for eBay, Fanatics and Goldin. Grade values are parsed from listing titles; TWD is formula-driven at 32.3 TWD/USD.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>
      <x:c r="A4" s="21" t="str">
        <x:v>Date</x:v>
      </x:c>
      <x:c r="B4" s="22" t="str">
        <x:v>Card (EN)</x:v>
      </x:c>
      <x:c r="C4" s="22" t="str">
        <x:v>Card (ZH)</x:v>
      </x:c>
      <x:c r="D4" s="22" t="str">
        <x:v>Grade</x:v>
      </x:c>
      <x:c r="E4" s="22" t="str">
        <x:v>Category</x:v>
      </x:c>
      <x:c r="F4" s="22" t="str">
        <x:v>Listed Price (USD)</x:v>
      </x:c>
      <x:c r="G4" s="22" t="str">
        <x:v>Actual Price (USD)</x:v>
      </x:c>
      <x:c r="H4" s="22" t="str">
        <x:v>Original Price Display</x:v>
      </x:c>
      <x:c r="I4" s="22" t="str">
        <x:v>Price (TWD)</x:v>
      </x:c>
      <x:c r="J4" s="22" t="str">
        <x:v>Exchange Rate</x:v>
      </x:c>
      <x:c r="K4" s="22" t="str">
        <x:v>Sale Type</x:v>
      </x:c>
      <x:c r="L4" s="22" t="str">
        <x:v>Platform</x:v>
      </x:c>
      <x:c r="M4" s="23" t="str">
        <x:v>Source URL</x:v>
      </x:c>
    </x:row>
    <x:row r="5">
      <x:c r="A5" s="28" t="n">
        <x:v>46230</x:v>
      </x:c>
      <x:c r="B5" s="29" t="str">
        <x:v>Ninetales</x:v>
      </x:c>
      <x:c r="C5" s="29" t="str">
        <x:v>九尾</x:v>
      </x:c>
      <x:c r="D5" s="29" t="str">
        <x:v>PSA 8</x:v>
      </x:c>
      <x:c r="E5" s="29" t="str">
        <x:v>PSA</x:v>
      </x:c>
      <x:c r="F5" s="30" t="n">
        <x:v>765</x:v>
      </x:c>
      <x:c r="G5" s="30" t="n">
        <x:v>765</x:v>
      </x:c>
      <x:c r="H5" s="29" t="str">
        <x:v>$765.00 USD</x:v>
      </x:c>
      <x:c r="I5" s="31" t="n">
        <x:f>ROUND(G5*J5,0)</x:f>
        <x:v>24709</x:v>
      </x:c>
      <x:c r="J5" s="32" t="n">
        <x:v>32.3</x:v>
      </x:c>
      <x:c r="K5" s="29" t="str">
        <x:v>Fixed Price</x:v>
      </x:c>
      <x:c r="L5" s="29" t="str">
        <x:v>eBay via 130point</x:v>
      </x:c>
      <x:c r="M5" s="33" t="str">
        <x:v>https://ebay.com/itm/137430706379?nordt=true</x:v>
      </x:c>
    </x:row>
    <x:row r="6">
      <x:c r="A6" s="28" t="n">
        <x:v>46222</x:v>
      </x:c>
      <x:c r="B6" s="29" t="str">
        <x:v>Bulbasaur</x:v>
      </x:c>
      <x:c r="C6" s="29" t="str">
        <x:v>妙蛙種子</x:v>
      </x:c>
      <x:c r="D6" s="29" t="str">
        <x:v>PSA 9</x:v>
      </x:c>
      <x:c r="E6" s="29" t="str">
        <x:v>PSA</x:v>
      </x:c>
      <x:c r="F6" s="30" t="n">
        <x:v>98.4</x:v>
      </x:c>
      <x:c r="G6" s="30" t="n">
        <x:v>98.4</x:v>
      </x:c>
      <x:c r="H6" s="29" t="str">
        <x:v>$98.40</x:v>
      </x:c>
      <x:c r="I6" s="31" t="n">
        <x:f>ROUND(G6*J6,0)</x:f>
        <x:v>3178</x:v>
      </x:c>
      <x:c r="J6" s="32" t="n">
        <x:v>32.3</x:v>
      </x:c>
      <x:c r="K6" s="29" t="str">
        <x:v>Auction</x:v>
      </x:c>
      <x:c r="L6" s="29" t="str">
        <x:v>Fanatics</x:v>
      </x:c>
      <x:c r="M6" s="33" t="str">
        <x:v>https://www.fanaticscollect.com/weekly/859c7890-7c6f-11f1-94a8-0a58a9feac02</x:v>
      </x:c>
    </x:row>
    <x:row r="7">
      <x:c r="A7" s="28" t="n">
        <x:v>46214</x:v>
      </x:c>
      <x:c r="B7" s="29" t="str">
        <x:v>Pikachu</x:v>
      </x:c>
      <x:c r="C7" s="29" t="str">
        <x:v>皮卡丘</x:v>
      </x:c>
      <x:c r="D7" s="29" t="str">
        <x:v>PSA 7</x:v>
      </x:c>
      <x:c r="E7" s="29" t="str">
        <x:v>PSA</x:v>
      </x:c>
      <x:c r="F7" s="30" t="n">
        <x:v>250</x:v>
      </x:c>
      <x:c r="G7" s="30" t="n">
        <x:v>250</x:v>
      </x:c>
      <x:c r="H7" s="29" t="str">
        <x:v>$250.00 USD</x:v>
      </x:c>
      <x:c r="I7" s="31" t="n">
        <x:f>ROUND(G7*J7,0)</x:f>
        <x:v>8075</x:v>
      </x:c>
      <x:c r="J7" s="32" t="n">
        <x:v>32.3</x:v>
      </x:c>
      <x:c r="K7" s="29" t="str">
        <x:v>Fixed Price</x:v>
      </x:c>
      <x:c r="L7" s="29" t="str">
        <x:v>eBay via 130point</x:v>
      </x:c>
      <x:c r="M7" s="33" t="str">
        <x:v>https://ebay.com/itm/137497386723?nordt=true</x:v>
      </x:c>
    </x:row>
    <x:row r="8">
      <x:c r="A8" s="28" t="n">
        <x:v>46208</x:v>
      </x:c>
      <x:c r="B8" s="29" t="str">
        <x:v>Gengar</x:v>
      </x:c>
      <x:c r="C8" s="29" t="str">
        <x:v>耿鬼</x:v>
      </x:c>
      <x:c r="D8" s="29" t="str">
        <x:v>CGC 9 MINT</x:v>
      </x:c>
      <x:c r="E8" s="29" t="str">
        <x:v>CGC</x:v>
      </x:c>
      <x:c r="F8" s="30" t="n">
        <x:v>301</x:v>
      </x:c>
      <x:c r="G8" s="30" t="n">
        <x:v>301</x:v>
      </x:c>
      <x:c r="H8" s="29" t="str">
        <x:v>$301.00 USD</x:v>
      </x:c>
      <x:c r="I8" s="31" t="n">
        <x:f>ROUND(G8*J8,0)</x:f>
        <x:v>9722</x:v>
      </x:c>
      <x:c r="J8" s="32" t="n">
        <x:v>32.3</x:v>
      </x:c>
      <x:c r="K8" s="29" t="str">
        <x:v>Auction</x:v>
      </x:c>
      <x:c r="L8" s="29" t="str">
        <x:v>eBay via 130point</x:v>
      </x:c>
      <x:c r="M8" s="33" t="str">
        <x:v>https://ebay.com/itm/307024347352?nordt=true</x:v>
      </x:c>
    </x:row>
    <x:row r="9">
      <x:c r="A9" s="28" t="n">
        <x:v>46207</x:v>
      </x:c>
      <x:c r="B9" s="29" t="str">
        <x:v>Hitmonchan</x:v>
      </x:c>
      <x:c r="C9" s="29" t="str">
        <x:v>快拳郎</x:v>
      </x:c>
      <x:c r="D9" s="29" t="str">
        <x:v>PSA 8</x:v>
      </x:c>
      <x:c r="E9" s="29" t="str">
        <x:v>PSA</x:v>
      </x:c>
      <x:c r="F9" s="30" t="n">
        <x:v>575</x:v>
      </x:c>
      <x:c r="G9" s="30" t="n">
        <x:v>550</x:v>
      </x:c>
      <x:c r="H9" s="29" t="str">
        <x:v>$550.00 USD</x:v>
      </x:c>
      <x:c r="I9" s="31" t="n">
        <x:f>ROUND(G9*J9,0)</x:f>
        <x:v>17765</x:v>
      </x:c>
      <x:c r="J9" s="32" t="n">
        <x:v>32.3</x:v>
      </x:c>
      <x:c r="K9" s="29" t="str">
        <x:v>Best Offer Accepted</x:v>
      </x:c>
      <x:c r="L9" s="29" t="str">
        <x:v>eBay via 130point</x:v>
      </x:c>
      <x:c r="M9" s="33" t="str">
        <x:v>https://ebay.com/itm/227240725154?nordt=true</x:v>
      </x:c>
    </x:row>
    <x:row r="10">
      <x:c r="A10" s="28" t="n">
        <x:v>46201</x:v>
      </x:c>
      <x:c r="B10" s="29" t="str">
        <x:v>Pikachu</x:v>
      </x:c>
      <x:c r="C10" s="29" t="str">
        <x:v>皮卡丘</x:v>
      </x:c>
      <x:c r="D10" s="29" t="str">
        <x:v>PSA 7</x:v>
      </x:c>
      <x:c r="E10" s="29" t="str">
        <x:v>PSA</x:v>
      </x:c>
      <x:c r="F10" s="30" t="n">
        <x:v>165</x:v>
      </x:c>
      <x:c r="G10" s="30" t="n">
        <x:v>165</x:v>
      </x:c>
      <x:c r="H10" s="29" t="str">
        <x:v>$165.00 USD</x:v>
      </x:c>
      <x:c r="I10" s="31" t="n">
        <x:f>ROUND(G10*J10,0)</x:f>
        <x:v>5329</x:v>
      </x:c>
      <x:c r="J10" s="32" t="n">
        <x:v>32.3</x:v>
      </x:c>
      <x:c r="K10" s="29" t="str">
        <x:v>Fixed Price</x:v>
      </x:c>
      <x:c r="L10" s="29" t="str">
        <x:v>eBay via 130point</x:v>
      </x:c>
      <x:c r="M10" s="33" t="str">
        <x:v>https://ebay.com/itm/137459127594?nordt=true</x:v>
      </x:c>
    </x:row>
    <x:row r="11">
      <x:c r="A11" s="28" t="n">
        <x:v>46189</x:v>
      </x:c>
      <x:c r="B11" s="29" t="str">
        <x:v>Machamp</x:v>
      </x:c>
      <x:c r="C11" s="29" t="str">
        <x:v>怪力</x:v>
      </x:c>
      <x:c r="D11" s="29" t="str">
        <x:v>PSA 7</x:v>
      </x:c>
      <x:c r="E11" s="29" t="str">
        <x:v>PSA</x:v>
      </x:c>
      <x:c r="F11" s="30" t="n">
        <x:v>300</x:v>
      </x:c>
      <x:c r="G11" s="30" t="n">
        <x:v>200</x:v>
      </x:c>
      <x:c r="H11" s="29" t="str">
        <x:v>$200.00 USD</x:v>
      </x:c>
      <x:c r="I11" s="31" t="n">
        <x:f>ROUND(G11*J11,0)</x:f>
        <x:v>6460</x:v>
      </x:c>
      <x:c r="J11" s="32" t="n">
        <x:v>32.3</x:v>
      </x:c>
      <x:c r="K11" s="29" t="str">
        <x:v>Best Offer Accepted</x:v>
      </x:c>
      <x:c r="L11" s="29" t="str">
        <x:v>eBay via 130point</x:v>
      </x:c>
      <x:c r="M11" s="33" t="str">
        <x:v>https://ebay.com/itm/298417619115?nordt=true</x:v>
      </x:c>
    </x:row>
    <x:row r="12">
      <x:c r="A12" s="28" t="n">
        <x:v>46189</x:v>
      </x:c>
      <x:c r="B12" s="29" t="str">
        <x:v>Machamp</x:v>
      </x:c>
      <x:c r="C12" s="29" t="str">
        <x:v>怪力</x:v>
      </x:c>
      <x:c r="D12" s="29" t="str">
        <x:v>PSA 8</x:v>
      </x:c>
      <x:c r="E12" s="29" t="str">
        <x:v>PSA</x:v>
      </x:c>
      <x:c r="F12" s="30" t="n">
        <x:v>700</x:v>
      </x:c>
      <x:c r="G12" s="30" t="n">
        <x:v>400</x:v>
      </x:c>
      <x:c r="H12" s="29" t="str">
        <x:v>$400.00 USD</x:v>
      </x:c>
      <x:c r="I12" s="31" t="n">
        <x:f>ROUND(G12*J12,0)</x:f>
        <x:v>12920</x:v>
      </x:c>
      <x:c r="J12" s="32" t="n">
        <x:v>32.3</x:v>
      </x:c>
      <x:c r="K12" s="29" t="str">
        <x:v>Best Offer Accepted</x:v>
      </x:c>
      <x:c r="L12" s="29" t="str">
        <x:v>eBay via 130point</x:v>
      </x:c>
      <x:c r="M12" s="33" t="str">
        <x:v>https://ebay.com/itm/298417613143?nordt=true</x:v>
      </x:c>
    </x:row>
    <x:row r="13">
      <x:c r="A13" s="28" t="n">
        <x:v>46189</x:v>
      </x:c>
      <x:c r="B13" s="29" t="str">
        <x:v>Machamp</x:v>
      </x:c>
      <x:c r="C13" s="29" t="str">
        <x:v>怪力</x:v>
      </x:c>
      <x:c r="D13" s="29" t="str">
        <x:v>PSA 7</x:v>
      </x:c>
      <x:c r="E13" s="29" t="str">
        <x:v>PSA</x:v>
      </x:c>
      <x:c r="F13" s="30" t="n">
        <x:v>500</x:v>
      </x:c>
      <x:c r="G13" s="30" t="n">
        <x:v>300</x:v>
      </x:c>
      <x:c r="H13" s="29" t="str">
        <x:v>$300.00 USD</x:v>
      </x:c>
      <x:c r="I13" s="31" t="n">
        <x:f>ROUND(G13*J13,0)</x:f>
        <x:v>9690</x:v>
      </x:c>
      <x:c r="J13" s="32" t="n">
        <x:v>32.3</x:v>
      </x:c>
      <x:c r="K13" s="29" t="str">
        <x:v>Best Offer Accepted</x:v>
      </x:c>
      <x:c r="L13" s="29" t="str">
        <x:v>eBay via 130point</x:v>
      </x:c>
      <x:c r="M13" s="33" t="str">
        <x:v>https://ebay.com/itm/298417617392?nordt=true</x:v>
      </x:c>
    </x:row>
    <x:row r="14">
      <x:c r="A14" s="28" t="n">
        <x:v>46186</x:v>
      </x:c>
      <x:c r="B14" s="29" t="str">
        <x:v>Pikachu</x:v>
      </x:c>
      <x:c r="C14" s="29" t="str">
        <x:v>皮卡丘</x:v>
      </x:c>
      <x:c r="D14" s="29" t="str">
        <x:v>PSA 8</x:v>
      </x:c>
      <x:c r="E14" s="29" t="str">
        <x:v>PSA</x:v>
      </x:c>
      <x:c r="F14" s="30" t="n">
        <x:v>300</x:v>
      </x:c>
      <x:c r="G14" s="30" t="n">
        <x:v>300</x:v>
      </x:c>
      <x:c r="H14" s="29" t="str">
        <x:v>$300.00 USD</x:v>
      </x:c>
      <x:c r="I14" s="31" t="n">
        <x:f>ROUND(G14*J14,0)</x:f>
        <x:v>9690</x:v>
      </x:c>
      <x:c r="J14" s="32" t="n">
        <x:v>32.3</x:v>
      </x:c>
      <x:c r="K14" s="29" t="str">
        <x:v>Fixed Price</x:v>
      </x:c>
      <x:c r="L14" s="29" t="str">
        <x:v>eBay via 130point</x:v>
      </x:c>
      <x:c r="M14" s="33" t="str">
        <x:v>https://ebay.com/itm/398039285976?nordt=true</x:v>
      </x:c>
    </x:row>
    <x:row r="15">
      <x:c r="A15" s="28" t="n">
        <x:v>46185</x:v>
      </x:c>
      <x:c r="B15" s="29" t="str">
        <x:v>Alakazam</x:v>
      </x:c>
      <x:c r="C15" s="29" t="str">
        <x:v>胡地</x:v>
      </x:c>
      <x:c r="D15" s="29" t="str">
        <x:v>PSA 8</x:v>
      </x:c>
      <x:c r="E15" s="29" t="str">
        <x:v>PSA</x:v>
      </x:c>
      <x:c r="F15" s="30" t="n">
        <x:v>895</x:v>
      </x:c>
      <x:c r="G15" s="30" t="n">
        <x:v>895</x:v>
      </x:c>
      <x:c r="H15" s="29" t="str">
        <x:v>$895.00 USD</x:v>
      </x:c>
      <x:c r="I15" s="31" t="n">
        <x:f>ROUND(G15*J15,0)</x:f>
        <x:v>28908</x:v>
      </x:c>
      <x:c r="J15" s="32" t="n">
        <x:v>32.3</x:v>
      </x:c>
      <x:c r="K15" s="29" t="str">
        <x:v>Fixed Price</x:v>
      </x:c>
      <x:c r="L15" s="29" t="str">
        <x:v>eBay via 130point</x:v>
      </x:c>
      <x:c r="M15" s="33" t="str">
        <x:v>https://ebay.com/itm/227312360483?nordt=true</x:v>
      </x:c>
    </x:row>
    <x:row r="16">
      <x:c r="A16" s="28" t="n">
        <x:v>46180</x:v>
      </x:c>
      <x:c r="B16" s="29" t="str">
        <x:v>Squirtle</x:v>
      </x:c>
      <x:c r="C16" s="29" t="str">
        <x:v>傑尼龜</x:v>
      </x:c>
      <x:c r="D16" s="29" t="str">
        <x:v>Raw</x:v>
      </x:c>
      <x:c r="E16" s="29" t="str">
        <x:v>Raw</x:v>
      </x:c>
      <x:c r="F16" s="30" t="n">
        <x:v>129.5</x:v>
      </x:c>
      <x:c r="G16" s="30" t="n">
        <x:v>49.7</x:v>
      </x:c>
      <x:c r="H16" s="29" t="str">
        <x:v>$49.70 USD</x:v>
      </x:c>
      <x:c r="I16" s="31" t="n">
        <x:f>ROUND(G16*J16,0)</x:f>
        <x:v>1605</x:v>
      </x:c>
      <x:c r="J16" s="32" t="n">
        <x:v>32.3</x:v>
      </x:c>
      <x:c r="K16" s="29" t="str">
        <x:v>Best Offer Accepted</x:v>
      </x:c>
      <x:c r="L16" s="29" t="str">
        <x:v>eBay via 130point</x:v>
      </x:c>
      <x:c r="M16" s="33" t="str">
        <x:v>https://ebay.com/itm/306926356391?nordt=true</x:v>
      </x:c>
    </x:row>
    <x:row r="17">
      <x:c r="A17" s="28" t="n">
        <x:v>46180</x:v>
      </x:c>
      <x:c r="B17" s="29" t="str">
        <x:v>Mewtwo</x:v>
      </x:c>
      <x:c r="C17" s="29" t="str">
        <x:v>超夢</x:v>
      </x:c>
      <x:c r="D17" s="29" t="str">
        <x:v>PSA 7</x:v>
      </x:c>
      <x:c r="E17" s="29" t="str">
        <x:v>PSA</x:v>
      </x:c>
      <x:c r="F17" s="30" t="n">
        <x:v>690</x:v>
      </x:c>
      <x:c r="G17" s="30" t="n">
        <x:v>690</x:v>
      </x:c>
      <x:c r="H17" s="29" t="str">
        <x:v>$690</x:v>
      </x:c>
      <x:c r="I17" s="31" t="n">
        <x:f>ROUND(G17*J17,0)</x:f>
        <x:v>22287</x:v>
      </x:c>
      <x:c r="J17" s="32" t="n">
        <x:v>32.3</x:v>
      </x:c>
      <x:c r="K17" s="29" t="str">
        <x:v>Auction</x:v>
      </x:c>
      <x:c r="L17" s="29" t="str">
        <x:v>Fanatics</x:v>
      </x:c>
      <x:c r="M17" s="33" t="str">
        <x:v>https://www.fanaticscollect.com/weekly/eff2647a-5b95-11f1-bdf2-0a58a9feac02</x:v>
      </x:c>
    </x:row>
    <x:row r="18">
      <x:c r="A18" s="28" t="n">
        <x:v>46173</x:v>
      </x:c>
      <x:c r="B18" s="29" t="str">
        <x:v>Blastoise</x:v>
      </x:c>
      <x:c r="C18" s="29" t="str">
        <x:v>水箭龜</x:v>
      </x:c>
      <x:c r="D18" s="29" t="str">
        <x:v>PSA 8</x:v>
      </x:c>
      <x:c r="E18" s="29" t="str">
        <x:v>PSA</x:v>
      </x:c>
      <x:c r="F18" s="30" t="n">
        <x:v>1290</x:v>
      </x:c>
      <x:c r="G18" s="30" t="n">
        <x:v>1290</x:v>
      </x:c>
      <x:c r="H18" s="29" t="str">
        <x:v>$1,290</x:v>
      </x:c>
      <x:c r="I18" s="31" t="n">
        <x:f>ROUND(G18*J18,0)</x:f>
        <x:v>41667</x:v>
      </x:c>
      <x:c r="J18" s="32" t="n">
        <x:v>32.3</x:v>
      </x:c>
      <x:c r="K18" s="29" t="str">
        <x:v>Auction</x:v>
      </x:c>
      <x:c r="L18" s="29" t="str">
        <x:v>Fanatics</x:v>
      </x:c>
      <x:c r="M18" s="33" t="str">
        <x:v>https://www.fanaticscollect.com/weekly/bd9477a4-586e-11f1-8623-0a58a9feac02</x:v>
      </x:c>
    </x:row>
    <x:row r="19">
      <x:c r="A19" s="28" t="n">
        <x:v>46173</x:v>
      </x:c>
      <x:c r="B19" s="29" t="str">
        <x:v>Blastoise</x:v>
      </x:c>
      <x:c r="C19" s="29" t="str">
        <x:v>水箭龜</x:v>
      </x:c>
      <x:c r="D19" s="29" t="str">
        <x:v>PSA 8</x:v>
      </x:c>
      <x:c r="E19" s="29" t="str">
        <x:v>PSA</x:v>
      </x:c>
      <x:c r="F19" s="30" t="n">
        <x:v>1320</x:v>
      </x:c>
      <x:c r="G19" s="30" t="n">
        <x:v>1320</x:v>
      </x:c>
      <x:c r="H19" s="29" t="str">
        <x:v>$1,320</x:v>
      </x:c>
      <x:c r="I19" s="31" t="n">
        <x:f>ROUND(G19*J19,0)</x:f>
        <x:v>42636</x:v>
      </x:c>
      <x:c r="J19" s="32" t="n">
        <x:v>32.3</x:v>
      </x:c>
      <x:c r="K19" s="29" t="str">
        <x:v>Auction</x:v>
      </x:c>
      <x:c r="L19" s="29" t="str">
        <x:v>Fanatics</x:v>
      </x:c>
      <x:c r="M19" s="33" t="str">
        <x:v>https://www.fanaticscollect.com/weekly/a5cdc944-4645-11f1-b9b7-0a58a9feac02</x:v>
      </x:c>
    </x:row>
    <x:row r="20">
      <x:c r="A20" s="28" t="n">
        <x:v>46173</x:v>
      </x:c>
      <x:c r="B20" s="29" t="str">
        <x:v>Charizard</x:v>
      </x:c>
      <x:c r="C20" s="29" t="str">
        <x:v>噴火龍</x:v>
      </x:c>
      <x:c r="D20" s="29" t="str">
        <x:v>PSA 8</x:v>
      </x:c>
      <x:c r="E20" s="29" t="str">
        <x:v>PSA</x:v>
      </x:c>
      <x:c r="F20" s="30" t="n">
        <x:v>9600</x:v>
      </x:c>
      <x:c r="G20" s="30" t="n">
        <x:v>9600</x:v>
      </x:c>
      <x:c r="H20" s="29" t="str">
        <x:v>$9,600</x:v>
      </x:c>
      <x:c r="I20" s="31" t="n">
        <x:f>ROUND(G20*J20,0)</x:f>
        <x:v>310080</x:v>
      </x:c>
      <x:c r="J20" s="32" t="n">
        <x:v>32.3</x:v>
      </x:c>
      <x:c r="K20" s="29" t="str">
        <x:v>Auction</x:v>
      </x:c>
      <x:c r="L20" s="29" t="str">
        <x:v>Fanatics</x:v>
      </x:c>
      <x:c r="M20" s="33" t="str">
        <x:v>https://www.fanaticscollect.com/weekly/c46a1278-586e-11f1-b371-0a58a9feac02</x:v>
      </x:c>
    </x:row>
    <x:row r="21">
      <x:c r="A21" s="28" t="n">
        <x:v>46173</x:v>
      </x:c>
      <x:c r="B21" s="29" t="str">
        <x:v>Machamp</x:v>
      </x:c>
      <x:c r="C21" s="29" t="str">
        <x:v>怪力</x:v>
      </x:c>
      <x:c r="D21" s="29" t="str">
        <x:v>PSA 8</x:v>
      </x:c>
      <x:c r="E21" s="29" t="str">
        <x:v>PSA</x:v>
      </x:c>
      <x:c r="F21" s="30" t="n">
        <x:v>930</x:v>
      </x:c>
      <x:c r="G21" s="30" t="n">
        <x:v>930</x:v>
      </x:c>
      <x:c r="H21" s="29" t="str">
        <x:v>$930</x:v>
      </x:c>
      <x:c r="I21" s="31" t="n">
        <x:f>ROUND(G21*J21,0)</x:f>
        <x:v>30039</x:v>
      </x:c>
      <x:c r="J21" s="32" t="n">
        <x:v>32.3</x:v>
      </x:c>
      <x:c r="K21" s="29" t="str">
        <x:v>Auction</x:v>
      </x:c>
      <x:c r="L21" s="29" t="str">
        <x:v>Fanatics</x:v>
      </x:c>
      <x:c r="M21" s="33" t="str">
        <x:v>https://www.fanaticscollect.com/weekly/a6596cd8-4645-11f1-968e-0a58a9feac02</x:v>
      </x:c>
    </x:row>
    <x:row r="22">
      <x:c r="A22" s="28" t="n">
        <x:v>46173</x:v>
      </x:c>
      <x:c r="B22" s="29" t="str">
        <x:v>Raichu</x:v>
      </x:c>
      <x:c r="C22" s="29" t="str">
        <x:v>雷丘</x:v>
      </x:c>
      <x:c r="D22" s="29" t="str">
        <x:v>PSA 8</x:v>
      </x:c>
      <x:c r="E22" s="29" t="str">
        <x:v>PSA</x:v>
      </x:c>
      <x:c r="F22" s="30" t="n">
        <x:v>588</x:v>
      </x:c>
      <x:c r="G22" s="30" t="n">
        <x:v>588</x:v>
      </x:c>
      <x:c r="H22" s="29" t="str">
        <x:v>$588</x:v>
      </x:c>
      <x:c r="I22" s="31" t="n">
        <x:f>ROUND(G22*J22,0)</x:f>
        <x:v>18992</x:v>
      </x:c>
      <x:c r="J22" s="32" t="n">
        <x:v>32.3</x:v>
      </x:c>
      <x:c r="K22" s="29" t="str">
        <x:v>Auction</x:v>
      </x:c>
      <x:c r="L22" s="29" t="str">
        <x:v>Fanatics</x:v>
      </x:c>
      <x:c r="M22" s="33" t="str">
        <x:v>https://www.fanaticscollect.com/weekly/a65af530-4645-11f1-bc43-0a58a9feac02</x:v>
      </x:c>
    </x:row>
    <x:row r="23">
      <x:c r="A23" s="28" t="n">
        <x:v>46173</x:v>
      </x:c>
      <x:c r="B23" s="29" t="str">
        <x:v>Venusaur</x:v>
      </x:c>
      <x:c r="C23" s="29" t="str">
        <x:v>妙蛙花</x:v>
      </x:c>
      <x:c r="D23" s="29" t="str">
        <x:v>PSA 8</x:v>
      </x:c>
      <x:c r="E23" s="29" t="str">
        <x:v>PSA</x:v>
      </x:c>
      <x:c r="F23" s="30" t="n">
        <x:v>1350</x:v>
      </x:c>
      <x:c r="G23" s="30" t="n">
        <x:v>1350</x:v>
      </x:c>
      <x:c r="H23" s="29" t="str">
        <x:v>$1,350</x:v>
      </x:c>
      <x:c r="I23" s="31" t="n">
        <x:f>ROUND(G23*J23,0)</x:f>
        <x:v>43605</x:v>
      </x:c>
      <x:c r="J23" s="32" t="n">
        <x:v>32.3</x:v>
      </x:c>
      <x:c r="K23" s="29" t="str">
        <x:v>Auction</x:v>
      </x:c>
      <x:c r="L23" s="29" t="str">
        <x:v>Fanatics</x:v>
      </x:c>
      <x:c r="M23" s="33" t="str">
        <x:v>https://www.fanaticscollect.com/weekly/b6bdc1c4-586e-11f1-a8dd-0a58a9feac02</x:v>
      </x:c>
    </x:row>
    <x:row r="24">
      <x:c r="A24" s="28" t="n">
        <x:v>46173</x:v>
      </x:c>
      <x:c r="B24" s="29" t="str">
        <x:v>Zapdos</x:v>
      </x:c>
      <x:c r="C24" s="29" t="str">
        <x:v>閃電鳥</x:v>
      </x:c>
      <x:c r="D24" s="29" t="str">
        <x:v>PSA 8</x:v>
      </x:c>
      <x:c r="E24" s="29" t="str">
        <x:v>PSA</x:v>
      </x:c>
      <x:c r="F24" s="30" t="n">
        <x:v>600</x:v>
      </x:c>
      <x:c r="G24" s="30" t="n">
        <x:v>600</x:v>
      </x:c>
      <x:c r="H24" s="29" t="str">
        <x:v>$600</x:v>
      </x:c>
      <x:c r="I24" s="31" t="n">
        <x:f>ROUND(G24*J24,0)</x:f>
        <x:v>19380</x:v>
      </x:c>
      <x:c r="J24" s="32" t="n">
        <x:v>32.3</x:v>
      </x:c>
      <x:c r="K24" s="29" t="str">
        <x:v>Auction</x:v>
      </x:c>
      <x:c r="L24" s="29" t="str">
        <x:v>Fanatics</x:v>
      </x:c>
      <x:c r="M24" s="33" t="str">
        <x:v>https://www.fanaticscollect.com/weekly/a65c6d02-4645-11f1-9fd5-0a58a9feac02</x:v>
      </x:c>
    </x:row>
    <x:row r="25">
      <x:c r="A25" s="28" t="n">
        <x:v>46169</x:v>
      </x:c>
      <x:c r="B25" s="29" t="str">
        <x:v>Pikachu</x:v>
      </x:c>
      <x:c r="C25" s="29" t="str">
        <x:v>皮卡丘</x:v>
      </x:c>
      <x:c r="D25" s="29" t="str">
        <x:v>PSA 8</x:v>
      </x:c>
      <x:c r="E25" s="29" t="str">
        <x:v>PSA</x:v>
      </x:c>
      <x:c r="F25" s="30" t="n">
        <x:v>300</x:v>
      </x:c>
      <x:c r="G25" s="30" t="n">
        <x:v>300</x:v>
      </x:c>
      <x:c r="H25" s="29" t="str">
        <x:v>$300.00 USD</x:v>
      </x:c>
      <x:c r="I25" s="31" t="n">
        <x:f>ROUND(G25*J25,0)</x:f>
        <x:v>9690</x:v>
      </x:c>
      <x:c r="J25" s="32" t="n">
        <x:v>32.3</x:v>
      </x:c>
      <x:c r="K25" s="29" t="str">
        <x:v>Fixed Price</x:v>
      </x:c>
      <x:c r="L25" s="29" t="str">
        <x:v>eBay via 130point</x:v>
      </x:c>
      <x:c r="M25" s="33" t="str">
        <x:v>https://ebay.com/itm/137348155622?nordt=true</x:v>
      </x:c>
    </x:row>
    <x:row r="26">
      <x:c r="A26" s="28" t="n">
        <x:v>46166</x:v>
      </x:c>
      <x:c r="B26" s="29" t="str">
        <x:v>Magikarp</x:v>
      </x:c>
      <x:c r="C26" s="29" t="str">
        <x:v>鯉魚王</x:v>
      </x:c>
      <x:c r="D26" s="29" t="str">
        <x:v>CGC 9</x:v>
      </x:c>
      <x:c r="E26" s="29" t="str">
        <x:v>CGC</x:v>
      </x:c>
      <x:c r="F26" s="30" t="n">
        <x:v>76.8</x:v>
      </x:c>
      <x:c r="G26" s="30" t="n">
        <x:v>76.8</x:v>
      </x:c>
      <x:c r="H26" s="29" t="str">
        <x:v>$76.80</x:v>
      </x:c>
      <x:c r="I26" s="31" t="n">
        <x:f>ROUND(G26*J26,0)</x:f>
        <x:v>2481</x:v>
      </x:c>
      <x:c r="J26" s="32" t="n">
        <x:v>32.3</x:v>
      </x:c>
      <x:c r="K26" s="29" t="str">
        <x:v>Auction</x:v>
      </x:c>
      <x:c r="L26" s="29" t="str">
        <x:v>Fanatics</x:v>
      </x:c>
      <x:c r="M26" s="33" t="str">
        <x:v>https://www.fanaticscollect.com/weekly/c586abac-4d75-11f1-921b-027004a3c7d9</x:v>
      </x:c>
    </x:row>
    <x:row r="27">
      <x:c r="A27" s="28" t="n">
        <x:v>46166</x:v>
      </x:c>
      <x:c r="B27" s="29" t="str">
        <x:v>Pikachu</x:v>
      </x:c>
      <x:c r="C27" s="29" t="str">
        <x:v>皮卡丘</x:v>
      </x:c>
      <x:c r="D27" s="29" t="str">
        <x:v>CGC 8.5</x:v>
      </x:c>
      <x:c r="E27" s="29" t="str">
        <x:v>CGC</x:v>
      </x:c>
      <x:c r="F27" s="30" t="n">
        <x:v>252</x:v>
      </x:c>
      <x:c r="G27" s="30" t="n">
        <x:v>252</x:v>
      </x:c>
      <x:c r="H27" s="29" t="str">
        <x:v>$252</x:v>
      </x:c>
      <x:c r="I27" s="31" t="n">
        <x:f>ROUND(G27*J27,0)</x:f>
        <x:v>8140</x:v>
      </x:c>
      <x:c r="J27" s="32" t="n">
        <x:v>32.3</x:v>
      </x:c>
      <x:c r="K27" s="29" t="str">
        <x:v>Auction</x:v>
      </x:c>
      <x:c r="L27" s="29" t="str">
        <x:v>Fanatics</x:v>
      </x:c>
      <x:c r="M27" s="33" t="str">
        <x:v>https://www.fanaticscollect.com/weekly/c584bc98-4d75-11f1-a367-027004a3c7d9</x:v>
      </x:c>
    </x:row>
    <x:row r="28">
      <x:c r="A28" s="28" t="n">
        <x:v>46157</x:v>
      </x:c>
      <x:c r="B28" s="29" t="str">
        <x:v>Alakazam</x:v>
      </x:c>
      <x:c r="C28" s="29" t="str">
        <x:v>胡地</x:v>
      </x:c>
      <x:c r="D28" s="29" t="str">
        <x:v>CGC 7</x:v>
      </x:c>
      <x:c r="E28" s="29" t="str">
        <x:v>CGC</x:v>
      </x:c>
      <x:c r="F28" s="30" t="n">
        <x:v>575</x:v>
      </x:c>
      <x:c r="G28" s="30" t="n">
        <x:v>575</x:v>
      </x:c>
      <x:c r="H28" s="29" t="str">
        <x:v>$575.00 USD</x:v>
      </x:c>
      <x:c r="I28" s="31" t="n">
        <x:f>ROUND(G28*J28,0)</x:f>
        <x:v>18573</x:v>
      </x:c>
      <x:c r="J28" s="32" t="n">
        <x:v>32.3</x:v>
      </x:c>
      <x:c r="K28" s="29" t="str">
        <x:v>Fixed Price</x:v>
      </x:c>
      <x:c r="L28" s="29" t="str">
        <x:v>eBay via 130point</x:v>
      </x:c>
      <x:c r="M28" s="33" t="str">
        <x:v>https://ebay.com/itm/227312410899?nordt=true</x:v>
      </x:c>
    </x:row>
    <x:row r="29">
      <x:c r="A29" s="28" t="n">
        <x:v>46156</x:v>
      </x:c>
      <x:c r="B29" s="29" t="str">
        <x:v>Pikachu</x:v>
      </x:c>
      <x:c r="C29" s="29" t="str">
        <x:v>皮卡丘</x:v>
      </x:c>
      <x:c r="D29" s="29" t="str">
        <x:v>CGC 10</x:v>
      </x:c>
      <x:c r="E29" s="29" t="str">
        <x:v>CGC</x:v>
      </x:c>
      <x:c r="F29" s="30" t="n">
        <x:v>674.5</x:v>
      </x:c>
      <x:c r="G29" s="30" t="n">
        <x:v>674.5</x:v>
      </x:c>
      <x:c r="H29" s="29" t="str">
        <x:v>$674.50 USD</x:v>
      </x:c>
      <x:c r="I29" s="31" t="n">
        <x:f>ROUND(G29*J29,0)</x:f>
        <x:v>21786</x:v>
      </x:c>
      <x:c r="J29" s="32" t="n">
        <x:v>32.3</x:v>
      </x:c>
      <x:c r="K29" s="29" t="str">
        <x:v>Fixed Price</x:v>
      </x:c>
      <x:c r="L29" s="29" t="str">
        <x:v>eBay via 130point</x:v>
      </x:c>
      <x:c r="M29" s="33" t="str">
        <x:v>https://ebay.com/itm/226689994762?nordt=true</x:v>
      </x:c>
    </x:row>
    <x:row r="30">
      <x:c r="A30" s="28" t="n">
        <x:v>46154</x:v>
      </x:c>
      <x:c r="B30" s="29" t="str">
        <x:v>Magikarp</x:v>
      </x:c>
      <x:c r="C30" s="29" t="str">
        <x:v>鯉魚王</x:v>
      </x:c>
      <x:c r="D30" s="29" t="str">
        <x:v>Raw</x:v>
      </x:c>
      <x:c r="E30" s="29" t="str">
        <x:v>Raw</x:v>
      </x:c>
      <x:c r="F30" s="30" t="n">
        <x:v>222</x:v>
      </x:c>
      <x:c r="G30" s="30" t="n">
        <x:v>222</x:v>
      </x:c>
      <x:c r="H30" s="29" t="str">
        <x:v>$222.00 USD</x:v>
      </x:c>
      <x:c r="I30" s="31" t="n">
        <x:f>ROUND(G30*J30,0)</x:f>
        <x:v>7171</x:v>
      </x:c>
      <x:c r="J30" s="32" t="n">
        <x:v>32.3</x:v>
      </x:c>
      <x:c r="K30" s="29" t="str">
        <x:v>Fixed Price</x:v>
      </x:c>
      <x:c r="L30" s="29" t="str">
        <x:v>eBay via 130point</x:v>
      </x:c>
      <x:c r="M30" s="33" t="str">
        <x:v>https://ebay.com/itm/137167096887?nordt=true</x:v>
      </x:c>
    </x:row>
    <x:row r="31">
      <x:c r="A31" s="28" t="n">
        <x:v>46148</x:v>
      </x:c>
      <x:c r="B31" s="29" t="str">
        <x:v>Hitmonchan</x:v>
      </x:c>
      <x:c r="C31" s="29" t="str">
        <x:v>快拳郎</x:v>
      </x:c>
      <x:c r="D31" s="29" t="str">
        <x:v>CGC 8.5</x:v>
      </x:c>
      <x:c r="E31" s="29" t="str">
        <x:v>CGC</x:v>
      </x:c>
      <x:c r="F31" s="30" t="n">
        <x:v>230</x:v>
      </x:c>
      <x:c r="G31" s="30" t="n">
        <x:v>230</x:v>
      </x:c>
      <x:c r="H31" s="29" t="str">
        <x:v>$230</x:v>
      </x:c>
      <x:c r="I31" s="31" t="n">
        <x:f>ROUND(G31*J31,0)</x:f>
        <x:v>7429</x:v>
      </x:c>
      <x:c r="J31" s="32" t="n">
        <x:v>32.3</x:v>
      </x:c>
      <x:c r="K31" s="29" t="str">
        <x:v>Buy Now</x:v>
      </x:c>
      <x:c r="L31" s="29" t="str">
        <x:v>Fanatics</x:v>
      </x:c>
      <x:c r="M31" s="33" t="str">
        <x:v>https://www.fanaticscollect.com/buy-now/74297c74-b03c-4f69-a50d-d191bbbb747e</x:v>
      </x:c>
    </x:row>
    <x:row r="32">
      <x:c r="A32" s="28" t="n">
        <x:v>46144</x:v>
      </x:c>
      <x:c r="B32" s="29" t="str">
        <x:v>Wartortle</x:v>
      </x:c>
      <x:c r="C32" s="29" t="str">
        <x:v>卡咪龜</x:v>
      </x:c>
      <x:c r="D32" s="29" t="str">
        <x:v>CGC 9</x:v>
      </x:c>
      <x:c r="E32" s="29" t="str">
        <x:v>CGC</x:v>
      </x:c>
      <x:c r="F32" s="30" t="n">
        <x:v>64.5</x:v>
      </x:c>
      <x:c r="G32" s="30" t="n">
        <x:v>64.5</x:v>
      </x:c>
      <x:c r="H32" s="29" t="str">
        <x:v>$64.50 USD</x:v>
      </x:c>
      <x:c r="I32" s="31" t="n">
        <x:f>ROUND(G32*J32,0)</x:f>
        <x:v>2083</x:v>
      </x:c>
      <x:c r="J32" s="32" t="n">
        <x:v>32.3</x:v>
      </x:c>
      <x:c r="K32" s="29" t="str">
        <x:v>Fixed Price</x:v>
      </x:c>
      <x:c r="L32" s="29" t="str">
        <x:v>eBay via 130point</x:v>
      </x:c>
      <x:c r="M32" s="33" t="str">
        <x:v>https://ebay.com/itm/226731365020?nordt=true</x:v>
      </x:c>
    </x:row>
    <x:row r="33">
      <x:c r="A33" s="28" t="n">
        <x:v>46141</x:v>
      </x:c>
      <x:c r="B33" s="29" t="str">
        <x:v>Zapdos</x:v>
      </x:c>
      <x:c r="C33" s="29" t="str">
        <x:v>閃電鳥</x:v>
      </x:c>
      <x:c r="D33" s="29" t="str">
        <x:v>CGC 8</x:v>
      </x:c>
      <x:c r="E33" s="29" t="str">
        <x:v>CGC</x:v>
      </x:c>
      <x:c r="F33" s="30" t="n">
        <x:v>444</x:v>
      </x:c>
      <x:c r="G33" s="30" t="n">
        <x:v>350</x:v>
      </x:c>
      <x:c r="H33" s="29" t="str">
        <x:v>$350.00 USD</x:v>
      </x:c>
      <x:c r="I33" s="31" t="n">
        <x:f>ROUND(G33*J33,0)</x:f>
        <x:v>11305</x:v>
      </x:c>
      <x:c r="J33" s="32" t="n">
        <x:v>32.3</x:v>
      </x:c>
      <x:c r="K33" s="29" t="str">
        <x:v>Best Offer Accepted</x:v>
      </x:c>
      <x:c r="L33" s="29" t="str">
        <x:v>eBay via 130point</x:v>
      </x:c>
      <x:c r="M33" s="33" t="str">
        <x:v>https://ebay.com/itm/117165429435?nordt=true</x:v>
      </x:c>
    </x:row>
    <x:row r="34">
      <x:c r="A34" s="28" t="n">
        <x:v>46140</x:v>
      </x:c>
      <x:c r="B34" s="29" t="str">
        <x:v>Squirtle</x:v>
      </x:c>
      <x:c r="C34" s="29" t="str">
        <x:v>傑尼龜</x:v>
      </x:c>
      <x:c r="D34" s="29" t="str">
        <x:v>CGC 9</x:v>
      </x:c>
      <x:c r="E34" s="29" t="str">
        <x:v>CGC</x:v>
      </x:c>
      <x:c r="F34" s="30" t="n">
        <x:v>87.5</x:v>
      </x:c>
      <x:c r="G34" s="30" t="n">
        <x:v>87.5</x:v>
      </x:c>
      <x:c r="H34" s="29" t="str">
        <x:v>$87.50 USD</x:v>
      </x:c>
      <x:c r="I34" s="31" t="n">
        <x:f>ROUND(G34*J34,0)</x:f>
        <x:v>2826</x:v>
      </x:c>
      <x:c r="J34" s="32" t="n">
        <x:v>32.3</x:v>
      </x:c>
      <x:c r="K34" s="29" t="str">
        <x:v>Fixed Price</x:v>
      </x:c>
      <x:c r="L34" s="29" t="str">
        <x:v>eBay via 130point</x:v>
      </x:c>
      <x:c r="M34" s="33" t="str">
        <x:v>https://ebay.com/itm/326791790220?nordt=true</x:v>
      </x:c>
    </x:row>
    <x:row r="35">
      <x:c r="A35" s="28" t="n">
        <x:v>46137</x:v>
      </x:c>
      <x:c r="B35" s="29" t="str">
        <x:v>Squirtle</x:v>
      </x:c>
      <x:c r="C35" s="29" t="str">
        <x:v>傑尼龜</x:v>
      </x:c>
      <x:c r="D35" s="29" t="str">
        <x:v>PSA 9</x:v>
      </x:c>
      <x:c r="E35" s="29" t="str">
        <x:v>PSA</x:v>
      </x:c>
      <x:c r="F35" s="30" t="n">
        <x:v>215</x:v>
      </x:c>
      <x:c r="G35" s="30" t="n">
        <x:v>215</x:v>
      </x:c>
      <x:c r="H35" s="29" t="str">
        <x:v>$215.00 USD</x:v>
      </x:c>
      <x:c r="I35" s="31" t="n">
        <x:f>ROUND(G35*J35,0)</x:f>
        <x:v>6944</x:v>
      </x:c>
      <x:c r="J35" s="32" t="n">
        <x:v>32.3</x:v>
      </x:c>
      <x:c r="K35" s="29" t="str">
        <x:v>Fixed Price</x:v>
      </x:c>
      <x:c r="L35" s="29" t="str">
        <x:v>eBay via 130point</x:v>
      </x:c>
      <x:c r="M35" s="33" t="str">
        <x:v>https://ebay.com/itm/227314102334?nordt=true</x:v>
      </x:c>
    </x:row>
    <x:row r="36">
      <x:c r="A36" s="28" t="n">
        <x:v>46124</x:v>
      </x:c>
      <x:c r="B36" s="29" t="str">
        <x:v>Poliwrath</x:v>
      </x:c>
      <x:c r="C36" s="29" t="str">
        <x:v>蚊香士</x:v>
      </x:c>
      <x:c r="D36" s="29" t="str">
        <x:v>PSA 8</x:v>
      </x:c>
      <x:c r="E36" s="29" t="str">
        <x:v>PSA</x:v>
      </x:c>
      <x:c r="F36" s="30" t="n">
        <x:v>420</x:v>
      </x:c>
      <x:c r="G36" s="30" t="n">
        <x:v>420</x:v>
      </x:c>
      <x:c r="H36" s="29" t="str">
        <x:v>$420</x:v>
      </x:c>
      <x:c r="I36" s="31" t="n">
        <x:f>ROUND(G36*J36,0)</x:f>
        <x:v>13566</x:v>
      </x:c>
      <x:c r="J36" s="32" t="n">
        <x:v>32.3</x:v>
      </x:c>
      <x:c r="K36" s="29" t="str">
        <x:v>Auction</x:v>
      </x:c>
      <x:c r="L36" s="29" t="str">
        <x:v>Fanatics</x:v>
      </x:c>
      <x:c r="M36" s="33" t="str">
        <x:v>https://www.fanaticscollect.com/weekly/64d24f98-3202-11f1-bfa9-0a58a9feac02</x:v>
      </x:c>
    </x:row>
    <x:row r="37">
      <x:c r="A37" s="28" t="n">
        <x:v>46117</x:v>
      </x:c>
      <x:c r="B37" s="29" t="str">
        <x:v>Blastoise</x:v>
      </x:c>
      <x:c r="C37" s="29" t="str">
        <x:v>水箭龜</x:v>
      </x:c>
      <x:c r="D37" s="29" t="str">
        <x:v>PSA 9</x:v>
      </x:c>
      <x:c r="E37" s="29" t="str">
        <x:v>PSA</x:v>
      </x:c>
      <x:c r="F37" s="30" t="n">
        <x:v>2760</x:v>
      </x:c>
      <x:c r="G37" s="30" t="n">
        <x:v>2760</x:v>
      </x:c>
      <x:c r="H37" s="29" t="str">
        <x:v>$2,760</x:v>
      </x:c>
      <x:c r="I37" s="31" t="n">
        <x:f>ROUND(G37*J37,0)</x:f>
        <x:v>89148</x:v>
      </x:c>
      <x:c r="J37" s="32" t="n">
        <x:v>32.3</x:v>
      </x:c>
      <x:c r="K37" s="29" t="str">
        <x:v>Auction</x:v>
      </x:c>
      <x:c r="L37" s="29" t="str">
        <x:v>Fanatics</x:v>
      </x:c>
      <x:c r="M37" s="33" t="str">
        <x:v>https://www.fanaticscollect.com/weekly/f802de02-26d3-11f1-ac88-0a58a9feac02</x:v>
      </x:c>
    </x:row>
    <x:row r="38">
      <x:c r="A38" s="28" t="n">
        <x:v>46117</x:v>
      </x:c>
      <x:c r="B38" s="29" t="str">
        <x:v>Venusaur</x:v>
      </x:c>
      <x:c r="C38" s="29" t="str">
        <x:v>妙蛙花</x:v>
      </x:c>
      <x:c r="D38" s="29" t="str">
        <x:v>PSA 9</x:v>
      </x:c>
      <x:c r="E38" s="29" t="str">
        <x:v>PSA</x:v>
      </x:c>
      <x:c r="F38" s="30" t="n">
        <x:v>2190</x:v>
      </x:c>
      <x:c r="G38" s="30" t="n">
        <x:v>2190</x:v>
      </x:c>
      <x:c r="H38" s="29" t="str">
        <x:v>$2,190</x:v>
      </x:c>
      <x:c r="I38" s="31" t="n">
        <x:f>ROUND(G38*J38,0)</x:f>
        <x:v>70737</x:v>
      </x:c>
      <x:c r="J38" s="32" t="n">
        <x:v>32.3</x:v>
      </x:c>
      <x:c r="K38" s="29" t="str">
        <x:v>Auction</x:v>
      </x:c>
      <x:c r="L38" s="29" t="str">
        <x:v>Fanatics</x:v>
      </x:c>
      <x:c r="M38" s="33" t="str">
        <x:v>https://www.fanaticscollect.com/weekly/ef8032c0-26d3-11f1-aff5-065010a74285</x:v>
      </x:c>
    </x:row>
    <x:row r="39">
      <x:c r="A39" s="28" t="n">
        <x:v>46114</x:v>
      </x:c>
      <x:c r="B39" s="29" t="str">
        <x:v>Squirtle</x:v>
      </x:c>
      <x:c r="C39" s="29" t="str">
        <x:v>傑尼龜</x:v>
      </x:c>
      <x:c r="D39" s="29" t="str">
        <x:v>CGC 9</x:v>
      </x:c>
      <x:c r="E39" s="29" t="str">
        <x:v>CGC</x:v>
      </x:c>
      <x:c r="F39" s="30" t="n">
        <x:v>87.5</x:v>
      </x:c>
      <x:c r="G39" s="30" t="n">
        <x:v>87.5</x:v>
      </x:c>
      <x:c r="H39" s="29" t="str">
        <x:v>$87.50 USD</x:v>
      </x:c>
      <x:c r="I39" s="31" t="n">
        <x:f>ROUND(G39*J39,0)</x:f>
        <x:v>2826</x:v>
      </x:c>
      <x:c r="J39" s="32" t="n">
        <x:v>32.3</x:v>
      </x:c>
      <x:c r="K39" s="29" t="str">
        <x:v>Fixed Price</x:v>
      </x:c>
      <x:c r="L39" s="29" t="str">
        <x:v>eBay via 130point</x:v>
      </x:c>
      <x:c r="M39" s="33" t="str">
        <x:v>https://ebay.com/itm/226625548439?nordt=true</x:v>
      </x:c>
    </x:row>
    <x:row r="40">
      <x:c r="A40" s="28" t="n">
        <x:v>46107</x:v>
      </x:c>
      <x:c r="B40" s="29" t="str">
        <x:v>Venusaur</x:v>
      </x:c>
      <x:c r="C40" s="29" t="str">
        <x:v>妙蛙花</x:v>
      </x:c>
      <x:c r="D40" s="29" t="str">
        <x:v>PSA 9</x:v>
      </x:c>
      <x:c r="E40" s="29" t="str">
        <x:v>PSA</x:v>
      </x:c>
      <x:c r="F40" s="30" t="n">
        <x:v>1501.51</x:v>
      </x:c>
      <x:c r="G40" s="30" t="n">
        <x:v>1501.51</x:v>
      </x:c>
      <x:c r="H40" s="29" t="str">
        <x:v>$1,275.00 EUR</x:v>
      </x:c>
      <x:c r="I40" s="31" t="n">
        <x:f>ROUND(G40*J40,0)</x:f>
        <x:v>48499</x:v>
      </x:c>
      <x:c r="J40" s="32" t="n">
        <x:v>32.3</x:v>
      </x:c>
      <x:c r="K40" s="29" t="str">
        <x:v>Best Offer Accepted</x:v>
      </x:c>
      <x:c r="L40" s="29" t="str">
        <x:v>eBay via 130point</x:v>
      </x:c>
      <x:c r="M40" s="33" t="str">
        <x:v>https://ebay.com/itm/116403219652?nordt=true</x:v>
      </x:c>
    </x:row>
    <x:row r="41">
      <x:c r="A41" s="28" t="n">
        <x:v>46106</x:v>
      </x:c>
      <x:c r="B41" s="29" t="str">
        <x:v>Magneton</x:v>
      </x:c>
      <x:c r="C41" s="29" t="str">
        <x:v>三磁怪</x:v>
      </x:c>
      <x:c r="D41" s="29" t="str">
        <x:v>PSA 7</x:v>
      </x:c>
      <x:c r="E41" s="29" t="str">
        <x:v>PSA</x:v>
      </x:c>
      <x:c r="F41" s="30" t="n">
        <x:v>150</x:v>
      </x:c>
      <x:c r="G41" s="30" t="n">
        <x:v>150</x:v>
      </x:c>
      <x:c r="H41" s="29" t="str">
        <x:v>$150</x:v>
      </x:c>
      <x:c r="I41" s="31" t="n">
        <x:f>ROUND(G41*J41,0)</x:f>
        <x:v>4845</x:v>
      </x:c>
      <x:c r="J41" s="32" t="n">
        <x:v>32.3</x:v>
      </x:c>
      <x:c r="K41" s="29" t="str">
        <x:v>Buy Now</x:v>
      </x:c>
      <x:c r="L41" s="29" t="str">
        <x:v>Fanatics</x:v>
      </x:c>
      <x:c r="M41" s="33" t="str">
        <x:v>https://www.fanaticscollect.com/buy-now/d53a59ef-8ee6-488c-aca9-48d8af2b813e</x:v>
      </x:c>
    </x:row>
    <x:row r="42">
      <x:c r="A42" s="28" t="n">
        <x:v>46104</x:v>
      </x:c>
      <x:c r="B42" s="29" t="str">
        <x:v>Gyarados</x:v>
      </x:c>
      <x:c r="C42" s="29" t="str">
        <x:v>暴鯉龍</x:v>
      </x:c>
      <x:c r="D42" s="29" t="str">
        <x:v>PSA 9</x:v>
      </x:c>
      <x:c r="E42" s="29" t="str">
        <x:v>PSA</x:v>
      </x:c>
      <x:c r="F42" s="30" t="n">
        <x:v>577.44</x:v>
      </x:c>
      <x:c r="G42" s="30" t="n">
        <x:v>577.44</x:v>
      </x:c>
      <x:c r="H42" s="29" t="str">
        <x:v>$449.00 EUR</x:v>
      </x:c>
      <x:c r="I42" s="31" t="n">
        <x:f>ROUND(G42*J42,0)</x:f>
        <x:v>18651</x:v>
      </x:c>
      <x:c r="J42" s="32" t="n">
        <x:v>32.3</x:v>
      </x:c>
      <x:c r="K42" s="29" t="str">
        <x:v>Best Offer Accepted</x:v>
      </x:c>
      <x:c r="L42" s="29" t="str">
        <x:v>eBay via 130point</x:v>
      </x:c>
      <x:c r="M42" s="33" t="str">
        <x:v>https://ebay.com/itm/116426582092?nordt=true</x:v>
      </x:c>
    </x:row>
    <x:row r="43">
      <x:c r="A43" s="28" t="n">
        <x:v>46101</x:v>
      </x:c>
      <x:c r="B43" s="29" t="str">
        <x:v>Gengar</x:v>
      </x:c>
      <x:c r="C43" s="29" t="str">
        <x:v>耿鬼</x:v>
      </x:c>
      <x:c r="D43" s="29" t="str">
        <x:v>CGC 9 MINT</x:v>
      </x:c>
      <x:c r="E43" s="29" t="str">
        <x:v>CGC</x:v>
      </x:c>
      <x:c r="F43" s="30" t="n">
        <x:v>199</x:v>
      </x:c>
      <x:c r="G43" s="30" t="n">
        <x:v>199</x:v>
      </x:c>
      <x:c r="H43" s="29" t="str">
        <x:v>$199.00 USD</x:v>
      </x:c>
      <x:c r="I43" s="31" t="n">
        <x:f>ROUND(G43*J43,0)</x:f>
        <x:v>6428</x:v>
      </x:c>
      <x:c r="J43" s="32" t="n">
        <x:v>32.3</x:v>
      </x:c>
      <x:c r="K43" s="29" t="str">
        <x:v>Fixed Price</x:v>
      </x:c>
      <x:c r="L43" s="29" t="str">
        <x:v>eBay via 130point</x:v>
      </x:c>
      <x:c r="M43" s="33" t="str">
        <x:v>https://ebay.com/itm/127572356434?nordt=true</x:v>
      </x:c>
    </x:row>
    <x:row r="44">
      <x:c r="A44" s="28" t="n">
        <x:v>46100</x:v>
      </x:c>
      <x:c r="B44" s="29" t="str">
        <x:v>Chansey</x:v>
      </x:c>
      <x:c r="C44" s="29" t="str">
        <x:v>吉利蛋</x:v>
      </x:c>
      <x:c r="D44" s="29" t="str">
        <x:v>PSA 8</x:v>
      </x:c>
      <x:c r="E44" s="29" t="str">
        <x:v>PSA</x:v>
      </x:c>
      <x:c r="F44" s="30" t="n">
        <x:v>287.35</x:v>
      </x:c>
      <x:c r="G44" s="30" t="n">
        <x:v>287.35</x:v>
      </x:c>
      <x:c r="H44" s="29" t="str">
        <x:v>$240.00 EUR</x:v>
      </x:c>
      <x:c r="I44" s="31" t="n">
        <x:f>ROUND(G44*J44,0)</x:f>
        <x:v>9281</x:v>
      </x:c>
      <x:c r="J44" s="32" t="n">
        <x:v>32.3</x:v>
      </x:c>
      <x:c r="K44" s="29" t="str">
        <x:v>Best Offer Accepted</x:v>
      </x:c>
      <x:c r="L44" s="29" t="str">
        <x:v>eBay via 130point</x:v>
      </x:c>
      <x:c r="M44" s="33" t="str">
        <x:v>https://ebay.com/itm/116257824711?nordt=true</x:v>
      </x:c>
    </x:row>
    <x:row r="45">
      <x:c r="A45" s="28" t="n">
        <x:v>46099</x:v>
      </x:c>
      <x:c r="B45" s="29" t="str">
        <x:v>Gyarados</x:v>
      </x:c>
      <x:c r="C45" s="29" t="str">
        <x:v>暴鯉龍</x:v>
      </x:c>
      <x:c r="D45" s="29" t="str">
        <x:v>PSA 8</x:v>
      </x:c>
      <x:c r="E45" s="29" t="str">
        <x:v>PSA</x:v>
      </x:c>
      <x:c r="F45" s="30" t="n">
        <x:v>287.35</x:v>
      </x:c>
      <x:c r="G45" s="30" t="n">
        <x:v>287.35</x:v>
      </x:c>
      <x:c r="H45" s="29" t="str">
        <x:v>$245.00 EUR</x:v>
      </x:c>
      <x:c r="I45" s="31" t="n">
        <x:f>ROUND(G45*J45,0)</x:f>
        <x:v>9281</x:v>
      </x:c>
      <x:c r="J45" s="32" t="n">
        <x:v>32.3</x:v>
      </x:c>
      <x:c r="K45" s="29" t="str">
        <x:v>Best Offer Accepted</x:v>
      </x:c>
      <x:c r="L45" s="29" t="str">
        <x:v>eBay via 130point</x:v>
      </x:c>
      <x:c r="M45" s="33" t="str">
        <x:v>https://ebay.com/itm/116072388452?nordt=true</x:v>
      </x:c>
    </x:row>
    <x:row r="46">
      <x:c r="A46" s="28" t="n">
        <x:v>46095</x:v>
      </x:c>
      <x:c r="B46" s="29" t="str">
        <x:v>Pikachu</x:v>
      </x:c>
      <x:c r="C46" s="29" t="str">
        <x:v>皮卡丘</x:v>
      </x:c>
      <x:c r="D46" s="29" t="str">
        <x:v>PSA 9</x:v>
      </x:c>
      <x:c r="E46" s="29" t="str">
        <x:v>PSA</x:v>
      </x:c>
      <x:c r="F46" s="30" t="n">
        <x:v>919.25</x:v>
      </x:c>
      <x:c r="G46" s="30" t="n">
        <x:v>919.25</x:v>
      </x:c>
      <x:c r="H46" s="29" t="str">
        <x:v>$660.00 EUR</x:v>
      </x:c>
      <x:c r="I46" s="31" t="n">
        <x:f>ROUND(G46*J46,0)</x:f>
        <x:v>29692</x:v>
      </x:c>
      <x:c r="J46" s="32" t="n">
        <x:v>32.3</x:v>
      </x:c>
      <x:c r="K46" s="29" t="str">
        <x:v>Best Offer Accepted</x:v>
      </x:c>
      <x:c r="L46" s="29" t="str">
        <x:v>eBay via 130point</x:v>
      </x:c>
      <x:c r="M46" s="33" t="str">
        <x:v>https://ebay.com/itm/286784660602?nordt=true</x:v>
      </x:c>
    </x:row>
    <x:row r="47">
      <x:c r="A47" s="28" t="n">
        <x:v>46075</x:v>
      </x:c>
      <x:c r="B47" s="29" t="str">
        <x:v>Charmeleon</x:v>
      </x:c>
      <x:c r="C47" s="29" t="str">
        <x:v>火恐龍</x:v>
      </x:c>
      <x:c r="D47" s="29" t="str">
        <x:v>CGC 9</x:v>
      </x:c>
      <x:c r="E47" s="29" t="str">
        <x:v>CGC</x:v>
      </x:c>
      <x:c r="F47" s="30" t="n">
        <x:v>43.2</x:v>
      </x:c>
      <x:c r="G47" s="30" t="n">
        <x:v>43.2</x:v>
      </x:c>
      <x:c r="H47" s="29" t="str">
        <x:v>$43.20</x:v>
      </x:c>
      <x:c r="I47" s="31" t="n">
        <x:f>ROUND(G47*J47,0)</x:f>
        <x:v>1395</x:v>
      </x:c>
      <x:c r="J47" s="32" t="n">
        <x:v>32.3</x:v>
      </x:c>
      <x:c r="K47" s="29" t="str">
        <x:v>Auction</x:v>
      </x:c>
      <x:c r="L47" s="29" t="str">
        <x:v>Fanatics</x:v>
      </x:c>
      <x:c r="M47" s="33" t="str">
        <x:v>https://www.fanaticscollect.com/weekly/fd75288a-fcea-11f0-b9e4-0a58a9feac02</x:v>
      </x:c>
    </x:row>
    <x:row r="48">
      <x:c r="A48" s="28" t="n">
        <x:v>46071</x:v>
      </x:c>
      <x:c r="B48" s="29" t="str">
        <x:v>Mewtwo</x:v>
      </x:c>
      <x:c r="C48" s="29" t="str">
        <x:v>超夢</x:v>
      </x:c>
      <x:c r="D48" s="29" t="str">
        <x:v>PSA 8</x:v>
      </x:c>
      <x:c r="E48" s="29" t="str">
        <x:v>PSA</x:v>
      </x:c>
      <x:c r="F48" s="30" t="n">
        <x:v>1200</x:v>
      </x:c>
      <x:c r="G48" s="30" t="n">
        <x:v>900</x:v>
      </x:c>
      <x:c r="H48" s="29" t="str">
        <x:v>$900.00 USD</x:v>
      </x:c>
      <x:c r="I48" s="31" t="n">
        <x:f>ROUND(G48*J48,0)</x:f>
        <x:v>29070</x:v>
      </x:c>
      <x:c r="J48" s="32" t="n">
        <x:v>32.3</x:v>
      </x:c>
      <x:c r="K48" s="29" t="str">
        <x:v>Best Offer Accepted</x:v>
      </x:c>
      <x:c r="L48" s="29" t="str">
        <x:v>eBay via 130point</x:v>
      </x:c>
      <x:c r="M48" s="33" t="str">
        <x:v>https://ebay.com/itm/136943340955?nordt=true</x:v>
      </x:c>
    </x:row>
    <x:row r="49">
      <x:c r="A49" s="28" t="n">
        <x:v>46068</x:v>
      </x:c>
      <x:c r="B49" s="29" t="str">
        <x:v>Charmander</x:v>
      </x:c>
      <x:c r="C49" s="29" t="str">
        <x:v>小火龍</x:v>
      </x:c>
      <x:c r="D49" s="29" t="str">
        <x:v>CGC 8</x:v>
      </x:c>
      <x:c r="E49" s="29" t="str">
        <x:v>CGC</x:v>
      </x:c>
      <x:c r="F49" s="30" t="n">
        <x:v>26.4</x:v>
      </x:c>
      <x:c r="G49" s="30" t="n">
        <x:v>26.4</x:v>
      </x:c>
      <x:c r="H49" s="29" t="str">
        <x:v>$26.40</x:v>
      </x:c>
      <x:c r="I49" s="31" t="n">
        <x:f>ROUND(G49*J49,0)</x:f>
        <x:v>853</x:v>
      </x:c>
      <x:c r="J49" s="32" t="n">
        <x:v>32.3</x:v>
      </x:c>
      <x:c r="K49" s="29" t="str">
        <x:v>Auction</x:v>
      </x:c>
      <x:c r="L49" s="29" t="str">
        <x:v>Fanatics</x:v>
      </x:c>
      <x:c r="M49" s="33" t="str">
        <x:v>https://www.fanaticscollect.com/weekly/e5e659e4-06bf-11f1-9dc5-0a58a9feac02</x:v>
      </x:c>
    </x:row>
    <x:row r="50">
      <x:c r="A50" s="28" t="n">
        <x:v>46063</x:v>
      </x:c>
      <x:c r="B50" s="29" t="str">
        <x:v>Charmander</x:v>
      </x:c>
      <x:c r="C50" s="29" t="str">
        <x:v>小火龍</x:v>
      </x:c>
      <x:c r="D50" s="29" t="str">
        <x:v>PSA 8</x:v>
      </x:c>
      <x:c r="E50" s="29" t="str">
        <x:v>PSA</x:v>
      </x:c>
      <x:c r="F50" s="30" t="n">
        <x:v>175</x:v>
      </x:c>
      <x:c r="G50" s="30" t="n">
        <x:v>175</x:v>
      </x:c>
      <x:c r="H50" s="29" t="str">
        <x:v>$175.00 USD</x:v>
      </x:c>
      <x:c r="I50" s="31" t="n">
        <x:f>ROUND(G50*J50,0)</x:f>
        <x:v>5652</x:v>
      </x:c>
      <x:c r="J50" s="32" t="n">
        <x:v>32.3</x:v>
      </x:c>
      <x:c r="K50" s="29" t="str">
        <x:v>Fixed Price</x:v>
      </x:c>
      <x:c r="L50" s="29" t="str">
        <x:v>eBay via 130point</x:v>
      </x:c>
      <x:c r="M50" s="33" t="str">
        <x:v>https://ebay.com/itm/136943484012?nordt=true</x:v>
      </x:c>
    </x:row>
    <x:row r="51">
      <x:c r="A51" s="28" t="n">
        <x:v>46061</x:v>
      </x:c>
      <x:c r="B51" s="29" t="str">
        <x:v>Mewtwo</x:v>
      </x:c>
      <x:c r="C51" s="29" t="str">
        <x:v>超夢</x:v>
      </x:c>
      <x:c r="D51" s="29" t="str">
        <x:v>CGC 8.5</x:v>
      </x:c>
      <x:c r="E51" s="29" t="str">
        <x:v>CGC</x:v>
      </x:c>
      <x:c r="F51" s="30" t="n">
        <x:v>800</x:v>
      </x:c>
      <x:c r="G51" s="30" t="n">
        <x:v>500</x:v>
      </x:c>
      <x:c r="H51" s="29" t="str">
        <x:v>$500.00 USD</x:v>
      </x:c>
      <x:c r="I51" s="31" t="n">
        <x:f>ROUND(G51*J51,0)</x:f>
        <x:v>16150</x:v>
      </x:c>
      <x:c r="J51" s="32" t="n">
        <x:v>32.3</x:v>
      </x:c>
      <x:c r="K51" s="29" t="str">
        <x:v>Best Offer Accepted</x:v>
      </x:c>
      <x:c r="L51" s="29" t="str">
        <x:v>eBay via 130point</x:v>
      </x:c>
      <x:c r="M51" s="33" t="str">
        <x:v>https://ebay.com/itm/298001884736?nordt=true</x:v>
      </x:c>
    </x:row>
    <x:row r="52">
      <x:c r="A52" s="28" t="n">
        <x:v>46060</x:v>
      </x:c>
      <x:c r="B52" s="29" t="str">
        <x:v>Mewtwo</x:v>
      </x:c>
      <x:c r="C52" s="29" t="str">
        <x:v>超夢</x:v>
      </x:c>
      <x:c r="D52" s="29" t="str">
        <x:v>CGC 9</x:v>
      </x:c>
      <x:c r="E52" s="29" t="str">
        <x:v>CGC</x:v>
      </x:c>
      <x:c r="F52" s="30" t="n">
        <x:v>699</x:v>
      </x:c>
      <x:c r="G52" s="30" t="n">
        <x:v>699</x:v>
      </x:c>
      <x:c r="H52" s="29" t="str">
        <x:v>$699</x:v>
      </x:c>
      <x:c r="I52" s="31" t="n">
        <x:f>ROUND(G52*J52,0)</x:f>
        <x:v>22578</x:v>
      </x:c>
      <x:c r="J52" s="32" t="n">
        <x:v>32.3</x:v>
      </x:c>
      <x:c r="K52" s="29" t="str">
        <x:v>Buy Now</x:v>
      </x:c>
      <x:c r="L52" s="29" t="str">
        <x:v>Fanatics</x:v>
      </x:c>
      <x:c r="M52" s="33" t="str">
        <x:v>https://www.fanaticscollect.com/buy-now/86115a39-7fa4-431c-9bc6-2e60a339db3a</x:v>
      </x:c>
    </x:row>
    <x:row r="53">
      <x:c r="A53" s="28" t="n">
        <x:v>46059</x:v>
      </x:c>
      <x:c r="B53" s="29" t="str">
        <x:v>Magikarp</x:v>
      </x:c>
      <x:c r="C53" s="29" t="str">
        <x:v>鯉魚王</x:v>
      </x:c>
      <x:c r="D53" s="29" t="str">
        <x:v>Raw</x:v>
      </x:c>
      <x:c r="E53" s="29" t="str">
        <x:v>Raw</x:v>
      </x:c>
      <x:c r="F53" s="30" t="n">
        <x:v>99</x:v>
      </x:c>
      <x:c r="G53" s="30" t="n">
        <x:v>99</x:v>
      </x:c>
      <x:c r="H53" s="29" t="str">
        <x:v>$99.00 USD</x:v>
      </x:c>
      <x:c r="I53" s="31" t="n">
        <x:f>ROUND(G53*J53,0)</x:f>
        <x:v>3198</x:v>
      </x:c>
      <x:c r="J53" s="32" t="n">
        <x:v>32.3</x:v>
      </x:c>
      <x:c r="K53" s="29" t="str">
        <x:v>Fixed Price</x:v>
      </x:c>
      <x:c r="L53" s="29" t="str">
        <x:v>eBay via 130point</x:v>
      </x:c>
      <x:c r="M53" s="33" t="str">
        <x:v>https://ebay.com/itm/136900251365?nordt=true</x:v>
      </x:c>
    </x:row>
    <x:row r="54">
      <x:c r="A54" s="28" t="n">
        <x:v>46054</x:v>
      </x:c>
      <x:c r="B54" s="29" t="str">
        <x:v>Poliwrath</x:v>
      </x:c>
      <x:c r="C54" s="29" t="str">
        <x:v>蚊香士</x:v>
      </x:c>
      <x:c r="D54" s="29" t="str">
        <x:v>CGC 8.5</x:v>
      </x:c>
      <x:c r="E54" s="29" t="str">
        <x:v>CGC</x:v>
      </x:c>
      <x:c r="F54" s="30" t="n">
        <x:v>139</x:v>
      </x:c>
      <x:c r="G54" s="30" t="n">
        <x:v>139</x:v>
      </x:c>
      <x:c r="H54" s="29" t="str">
        <x:v>$139</x:v>
      </x:c>
      <x:c r="I54" s="31" t="n">
        <x:f>ROUND(G54*J54,0)</x:f>
        <x:v>4490</x:v>
      </x:c>
      <x:c r="J54" s="32" t="n">
        <x:v>32.3</x:v>
      </x:c>
      <x:c r="K54" s="29" t="str">
        <x:v>Buy Now</x:v>
      </x:c>
      <x:c r="L54" s="29" t="str">
        <x:v>Fanatics</x:v>
      </x:c>
      <x:c r="M54" s="33" t="str">
        <x:v>https://www.fanaticscollect.com/buy-now/611ead2e-1f90-4ac5-8b02-ca384b6ff2d7</x:v>
      </x:c>
    </x:row>
    <x:row r="55">
      <x:c r="A55" s="28" t="n">
        <x:v>46046</x:v>
      </x:c>
      <x:c r="B55" s="29" t="str">
        <x:v>Poliwrath</x:v>
      </x:c>
      <x:c r="C55" s="29" t="str">
        <x:v>蚊香士</x:v>
      </x:c>
      <x:c r="D55" s="29" t="str">
        <x:v>PSA 8.5</x:v>
      </x:c>
      <x:c r="E55" s="29" t="str">
        <x:v>PSA</x:v>
      </x:c>
      <x:c r="F55" s="30" t="n">
        <x:v>290.7</x:v>
      </x:c>
      <x:c r="G55" s="30" t="n">
        <x:v>290.7</x:v>
      </x:c>
      <x:c r="H55" s="29" t="str">
        <x:v>$290.70 USD</x:v>
      </x:c>
      <x:c r="I55" s="31" t="n">
        <x:f>ROUND(G55*J55,0)</x:f>
        <x:v>9390</x:v>
      </x:c>
      <x:c r="J55" s="32" t="n">
        <x:v>32.3</x:v>
      </x:c>
      <x:c r="K55" s="29" t="str">
        <x:v>Fixed Price</x:v>
      </x:c>
      <x:c r="L55" s="29" t="str">
        <x:v>eBay via 130point</x:v>
      </x:c>
      <x:c r="M55" s="33" t="str">
        <x:v>https://ebay.com/itm/397279768040?nordt=true</x:v>
      </x:c>
    </x:row>
    <x:row r="56">
      <x:c r="A56" s="28" t="n">
        <x:v>46043</x:v>
      </x:c>
      <x:c r="B56" s="29" t="str">
        <x:v>Venusaur</x:v>
      </x:c>
      <x:c r="C56" s="29" t="str">
        <x:v>妙蛙花</x:v>
      </x:c>
      <x:c r="D56" s="29" t="str">
        <x:v>PSA 8</x:v>
      </x:c>
      <x:c r="E56" s="29" t="str">
        <x:v>PSA</x:v>
      </x:c>
      <x:c r="F56" s="30" t="n">
        <x:v>1500</x:v>
      </x:c>
      <x:c r="G56" s="30" t="n">
        <x:v>1500</x:v>
      </x:c>
      <x:c r="H56" s="29" t="str">
        <x:v>$1,500.00 USD</x:v>
      </x:c>
      <x:c r="I56" s="31" t="n">
        <x:f>ROUND(G56*J56,0)</x:f>
        <x:v>48450</x:v>
      </x:c>
      <x:c r="J56" s="32" t="n">
        <x:v>32.3</x:v>
      </x:c>
      <x:c r="K56" s="29" t="str">
        <x:v>Fixed Price</x:v>
      </x:c>
      <x:c r="L56" s="29" t="str">
        <x:v>eBay via 130point</x:v>
      </x:c>
      <x:c r="M56" s="33" t="str">
        <x:v>https://ebay.com/itm/136761026322?nordt=true</x:v>
      </x:c>
    </x:row>
    <x:row r="57">
      <x:c r="A57" s="28" t="n">
        <x:v>46040</x:v>
      </x:c>
      <x:c r="B57" s="29" t="str">
        <x:v>Poliwrath</x:v>
      </x:c>
      <x:c r="C57" s="29" t="str">
        <x:v>蚊香士</x:v>
      </x:c>
      <x:c r="D57" s="29" t="str">
        <x:v>PSA 8</x:v>
      </x:c>
      <x:c r="E57" s="29" t="str">
        <x:v>PSA</x:v>
      </x:c>
      <x:c r="F57" s="30" t="n">
        <x:v>395</x:v>
      </x:c>
      <x:c r="G57" s="30" t="n">
        <x:v>395</x:v>
      </x:c>
      <x:c r="H57" s="29" t="str">
        <x:v>$395.00 USD</x:v>
      </x:c>
      <x:c r="I57" s="31" t="n">
        <x:f>ROUND(G57*J57,0)</x:f>
        <x:v>12758</x:v>
      </x:c>
      <x:c r="J57" s="32" t="n">
        <x:v>32.3</x:v>
      </x:c>
      <x:c r="K57" s="29" t="str">
        <x:v>Fixed Price</x:v>
      </x:c>
      <x:c r="L57" s="29" t="str">
        <x:v>eBay via 130point</x:v>
      </x:c>
      <x:c r="M57" s="33" t="str">
        <x:v>https://ebay.com/itm/136943308679?nordt=true</x:v>
      </x:c>
    </x:row>
    <x:row r="58">
      <x:c r="A58" s="28" t="n">
        <x:v>46027</x:v>
      </x:c>
      <x:c r="B58" s="29" t="str">
        <x:v>Venusaur</x:v>
      </x:c>
      <x:c r="C58" s="29" t="str">
        <x:v>妙蛙花</x:v>
      </x:c>
      <x:c r="D58" s="29" t="str">
        <x:v>PSA 8</x:v>
      </x:c>
      <x:c r="E58" s="29" t="str">
        <x:v>PSA</x:v>
      </x:c>
      <x:c r="F58" s="30" t="n">
        <x:v>1400</x:v>
      </x:c>
      <x:c r="G58" s="30" t="n">
        <x:v>800</x:v>
      </x:c>
      <x:c r="H58" s="29" t="str">
        <x:v>$800.00 USD</x:v>
      </x:c>
      <x:c r="I58" s="31" t="n">
        <x:f>ROUND(G58*J58,0)</x:f>
        <x:v>25840</x:v>
      </x:c>
      <x:c r="J58" s="32" t="n">
        <x:v>32.3</x:v>
      </x:c>
      <x:c r="K58" s="29" t="str">
        <x:v>Best Offer Accepted</x:v>
      </x:c>
      <x:c r="L58" s="29" t="str">
        <x:v>eBay via 130point</x:v>
      </x:c>
      <x:c r="M58" s="33" t="str">
        <x:v>https://ebay.com/itm/397446252145?nordt=true</x:v>
      </x:c>
    </x:row>
    <x:row r="59">
      <x:c r="A59" s="28" t="n">
        <x:v>45999</x:v>
      </x:c>
      <x:c r="B59" s="29" t="str">
        <x:v>Venusaur</x:v>
      </x:c>
      <x:c r="C59" s="29" t="str">
        <x:v>妙蛙花</x:v>
      </x:c>
      <x:c r="D59" s="29" t="str">
        <x:v>PSA 8</x:v>
      </x:c>
      <x:c r="E59" s="29" t="str">
        <x:v>PSA</x:v>
      </x:c>
      <x:c r="F59" s="30" t="n">
        <x:v>1200</x:v>
      </x:c>
      <x:c r="G59" s="30" t="n">
        <x:v>1100</x:v>
      </x:c>
      <x:c r="H59" s="29" t="str">
        <x:v>$1,100.00 USD</x:v>
      </x:c>
      <x:c r="I59" s="31" t="n">
        <x:f>ROUND(G59*J59,0)</x:f>
        <x:v>35530</x:v>
      </x:c>
      <x:c r="J59" s="32" t="n">
        <x:v>32.3</x:v>
      </x:c>
      <x:c r="K59" s="29" t="str">
        <x:v>Best Offer Accepted</x:v>
      </x:c>
      <x:c r="L59" s="29" t="str">
        <x:v>eBay via 130point</x:v>
      </x:c>
      <x:c r="M59" s="33" t="str">
        <x:v>https://ebay.com/itm/306594928214?nordt=true</x:v>
      </x:c>
    </x:row>
    <x:row r="60">
      <x:c r="A60" s="28" t="n">
        <x:v>45991</x:v>
      </x:c>
      <x:c r="B60" s="29" t="str">
        <x:v>Bulbasaur</x:v>
      </x:c>
      <x:c r="C60" s="29" t="str">
        <x:v>妙蛙種子</x:v>
      </x:c>
      <x:c r="D60" s="29" t="str">
        <x:v>PSA 9</x:v>
      </x:c>
      <x:c r="E60" s="29" t="str">
        <x:v>PSA</x:v>
      </x:c>
      <x:c r="F60" s="30" t="n">
        <x:v>64.8</x:v>
      </x:c>
      <x:c r="G60" s="30" t="n">
        <x:v>64.8</x:v>
      </x:c>
      <x:c r="H60" s="29" t="str">
        <x:v>$64.80</x:v>
      </x:c>
      <x:c r="I60" s="31" t="n">
        <x:f>ROUND(G60*J60,0)</x:f>
        <x:v>2093</x:v>
      </x:c>
      <x:c r="J60" s="32" t="n">
        <x:v>32.3</x:v>
      </x:c>
      <x:c r="K60" s="29" t="str">
        <x:v>Auction</x:v>
      </x:c>
      <x:c r="L60" s="29" t="str">
        <x:v>Fanatics</x:v>
      </x:c>
      <x:c r="M60" s="33" t="str">
        <x:v>https://www.fanaticscollect.com/weekly/cd1567f6-c0de-11f0-b237-0aa5a1e132ff</x:v>
      </x:c>
    </x:row>
    <x:row r="61">
      <x:c r="A61" s="28" t="n">
        <x:v>45991</x:v>
      </x:c>
      <x:c r="B61" s="29" t="str">
        <x:v>Pikachu</x:v>
      </x:c>
      <x:c r="C61" s="29" t="str">
        <x:v>皮卡丘</x:v>
      </x:c>
      <x:c r="D61" s="29" t="str">
        <x:v>PSA 7</x:v>
      </x:c>
      <x:c r="E61" s="29" t="str">
        <x:v>PSA</x:v>
      </x:c>
      <x:c r="F61" s="30" t="n">
        <x:v>39.6</x:v>
      </x:c>
      <x:c r="G61" s="30" t="n">
        <x:v>39.6</x:v>
      </x:c>
      <x:c r="H61" s="29" t="str">
        <x:v>$39.60</x:v>
      </x:c>
      <x:c r="I61" s="31" t="n">
        <x:f>ROUND(G61*J61,0)</x:f>
        <x:v>1279</x:v>
      </x:c>
      <x:c r="J61" s="32" t="n">
        <x:v>32.3</x:v>
      </x:c>
      <x:c r="K61" s="29" t="str">
        <x:v>Auction</x:v>
      </x:c>
      <x:c r="L61" s="29" t="str">
        <x:v>Fanatics</x:v>
      </x:c>
      <x:c r="M61" s="33" t="str">
        <x:v>https://www.fanaticscollect.com/weekly/37953ea6-b8a3-11f0-b9fe-0a58a9feac02</x:v>
      </x:c>
    </x:row>
    <x:row r="62">
      <x:c r="A62" s="28" t="n">
        <x:v>45991</x:v>
      </x:c>
      <x:c r="B62" s="29" t="str">
        <x:v>Wartortle</x:v>
      </x:c>
      <x:c r="C62" s="29" t="str">
        <x:v>卡咪龜</x:v>
      </x:c>
      <x:c r="D62" s="29" t="str">
        <x:v>PSA 9</x:v>
      </x:c>
      <x:c r="E62" s="29" t="str">
        <x:v>PSA</x:v>
      </x:c>
      <x:c r="F62" s="30" t="n">
        <x:v>64.8</x:v>
      </x:c>
      <x:c r="G62" s="30" t="n">
        <x:v>64.8</x:v>
      </x:c>
      <x:c r="H62" s="29" t="str">
        <x:v>$64.80</x:v>
      </x:c>
      <x:c r="I62" s="31" t="n">
        <x:f>ROUND(G62*J62,0)</x:f>
        <x:v>2093</x:v>
      </x:c>
      <x:c r="J62" s="32" t="n">
        <x:v>32.3</x:v>
      </x:c>
      <x:c r="K62" s="29" t="str">
        <x:v>Auction</x:v>
      </x:c>
      <x:c r="L62" s="29" t="str">
        <x:v>Fanatics</x:v>
      </x:c>
      <x:c r="M62" s="33" t="str">
        <x:v>https://www.fanaticscollect.com/weekly/cd1323d8-c0de-11f0-818e-0aa5a1e132ff</x:v>
      </x:c>
    </x:row>
    <x:row r="63">
      <x:c r="A63" s="28" t="n">
        <x:v>45980</x:v>
      </x:c>
      <x:c r="B63" s="29" t="str">
        <x:v>Charmander</x:v>
      </x:c>
      <x:c r="C63" s="29" t="str">
        <x:v>小火龍</x:v>
      </x:c>
      <x:c r="D63" s="29" t="str">
        <x:v>Raw</x:v>
      </x:c>
      <x:c r="E63" s="29" t="str">
        <x:v>Raw</x:v>
      </x:c>
      <x:c r="F63" s="30" t="n">
        <x:v>35</x:v>
      </x:c>
      <x:c r="G63" s="30" t="n">
        <x:v>35</x:v>
      </x:c>
      <x:c r="H63" s="29" t="str">
        <x:v>$35.00 USD</x:v>
      </x:c>
      <x:c r="I63" s="31" t="n">
        <x:f>ROUND(G63*J63,0)</x:f>
        <x:v>1131</x:v>
      </x:c>
      <x:c r="J63" s="32" t="n">
        <x:v>32.3</x:v>
      </x:c>
      <x:c r="K63" s="29" t="str">
        <x:v>Fixed Price</x:v>
      </x:c>
      <x:c r="L63" s="29" t="str">
        <x:v>eBay via 130point</x:v>
      </x:c>
      <x:c r="M63" s="33" t="str">
        <x:v>https://ebay.com/itm/136474041864?nordt=true</x:v>
      </x:c>
    </x:row>
    <x:row r="64">
      <x:c r="A64" s="28" t="n">
        <x:v>45977</x:v>
      </x:c>
      <x:c r="B64" s="29" t="str">
        <x:v>Gyarados</x:v>
      </x:c>
      <x:c r="C64" s="29" t="str">
        <x:v>暴鯉龍</x:v>
      </x:c>
      <x:c r="D64" s="29" t="str">
        <x:v>CGC AUTH</x:v>
      </x:c>
      <x:c r="E64" s="29" t="str">
        <x:v>CGC</x:v>
      </x:c>
      <x:c r="F64" s="30" t="n">
        <x:v>74.4</x:v>
      </x:c>
      <x:c r="G64" s="30" t="n">
        <x:v>74.4</x:v>
      </x:c>
      <x:c r="H64" s="29" t="str">
        <x:v>$74.40</x:v>
      </x:c>
      <x:c r="I64" s="31" t="n">
        <x:f>ROUND(G64*J64,0)</x:f>
        <x:v>2403</x:v>
      </x:c>
      <x:c r="J64" s="32" t="n">
        <x:v>32.3</x:v>
      </x:c>
      <x:c r="K64" s="29" t="str">
        <x:v>Auction</x:v>
      </x:c>
      <x:c r="L64" s="29" t="str">
        <x:v>Fanatics</x:v>
      </x:c>
      <x:c r="M64" s="33" t="str">
        <x:v>https://www.fanaticscollect.com/weekly/fcf01294-b5c3-11f0-b11e-0aaa5cbce8f7</x:v>
      </x:c>
    </x:row>
    <x:row r="65">
      <x:c r="A65" s="28" t="n">
        <x:v>45977</x:v>
      </x:c>
      <x:c r="B65" s="29" t="str">
        <x:v>Pikachu</x:v>
      </x:c>
      <x:c r="C65" s="29" t="str">
        <x:v>皮卡丘</x:v>
      </x:c>
      <x:c r="D65" s="29" t="str">
        <x:v>PSA 7</x:v>
      </x:c>
      <x:c r="E65" s="29" t="str">
        <x:v>PSA</x:v>
      </x:c>
      <x:c r="F65" s="30" t="n">
        <x:v>49.2</x:v>
      </x:c>
      <x:c r="G65" s="30" t="n">
        <x:v>49.2</x:v>
      </x:c>
      <x:c r="H65" s="29" t="str">
        <x:v>$49.20</x:v>
      </x:c>
      <x:c r="I65" s="31" t="n">
        <x:f>ROUND(G65*J65,0)</x:f>
        <x:v>1589</x:v>
      </x:c>
      <x:c r="J65" s="32" t="n">
        <x:v>32.3</x:v>
      </x:c>
      <x:c r="K65" s="29" t="str">
        <x:v>Auction</x:v>
      </x:c>
      <x:c r="L65" s="29" t="str">
        <x:v>Fanatics</x:v>
      </x:c>
      <x:c r="M65" s="33" t="str">
        <x:v>https://www.fanaticscollect.com/weekly/f5b22ca6-b8a2-11f0-a84e-0a58a9feac02</x:v>
      </x:c>
    </x:row>
    <x:row r="66">
      <x:c r="A66" s="28" t="n">
        <x:v>45977</x:v>
      </x:c>
      <x:c r="B66" s="29" t="str">
        <x:v>Poliwrath</x:v>
      </x:c>
      <x:c r="C66" s="29" t="str">
        <x:v>蚊香士</x:v>
      </x:c>
      <x:c r="D66" s="29" t="str">
        <x:v>CGC AUTH</x:v>
      </x:c>
      <x:c r="E66" s="29" t="str">
        <x:v>CGC</x:v>
      </x:c>
      <x:c r="F66" s="30" t="n">
        <x:v>37.2</x:v>
      </x:c>
      <x:c r="G66" s="30" t="n">
        <x:v>37.2</x:v>
      </x:c>
      <x:c r="H66" s="29" t="str">
        <x:v>$37.20</x:v>
      </x:c>
      <x:c r="I66" s="31" t="n">
        <x:f>ROUND(G66*J66,0)</x:f>
        <x:v>1202</x:v>
      </x:c>
      <x:c r="J66" s="32" t="n">
        <x:v>32.3</x:v>
      </x:c>
      <x:c r="K66" s="29" t="str">
        <x:v>Auction</x:v>
      </x:c>
      <x:c r="L66" s="29" t="str">
        <x:v>Fanatics</x:v>
      </x:c>
      <x:c r="M66" s="33" t="str">
        <x:v>https://www.fanaticscollect.com/weekly/fced28b8-b5c3-11f0-977b-02d058758487</x:v>
      </x:c>
    </x:row>
    <x:row r="67">
      <x:c r="A67" s="28" t="n">
        <x:v>45977</x:v>
      </x:c>
      <x:c r="B67" s="29" t="str">
        <x:v>Raichu</x:v>
      </x:c>
      <x:c r="C67" s="29" t="str">
        <x:v>雷丘</x:v>
      </x:c>
      <x:c r="D67" s="29" t="str">
        <x:v>CGC AUTH</x:v>
      </x:c>
      <x:c r="E67" s="29" t="str">
        <x:v>CGC</x:v>
      </x:c>
      <x:c r="F67" s="30" t="n">
        <x:v>69.6</x:v>
      </x:c>
      <x:c r="G67" s="30" t="n">
        <x:v>69.6</x:v>
      </x:c>
      <x:c r="H67" s="29" t="str">
        <x:v>$69.60</x:v>
      </x:c>
      <x:c r="I67" s="31" t="n">
        <x:f>ROUND(G67*J67,0)</x:f>
        <x:v>2248</x:v>
      </x:c>
      <x:c r="J67" s="32" t="n">
        <x:v>32.3</x:v>
      </x:c>
      <x:c r="K67" s="29" t="str">
        <x:v>Auction</x:v>
      </x:c>
      <x:c r="L67" s="29" t="str">
        <x:v>Fanatics</x:v>
      </x:c>
      <x:c r="M67" s="33" t="str">
        <x:v>https://www.fanaticscollect.com/weekly/fd14ac30-b5c3-11f0-b107-062f11f669fd</x:v>
      </x:c>
    </x:row>
    <x:row r="68">
      <x:c r="A68" s="28" t="n">
        <x:v>45970</x:v>
      </x:c>
      <x:c r="B68" s="29" t="str">
        <x:v>Charizard</x:v>
      </x:c>
      <x:c r="C68" s="29" t="str">
        <x:v>噴火龍</x:v>
      </x:c>
      <x:c r="D68" s="29" t="str">
        <x:v>PSA 8</x:v>
      </x:c>
      <x:c r="E68" s="29" t="str">
        <x:v>PSA</x:v>
      </x:c>
      <x:c r="F68" s="30" t="n">
        <x:v>3360</x:v>
      </x:c>
      <x:c r="G68" s="30" t="n">
        <x:v>3360</x:v>
      </x:c>
      <x:c r="H68" s="29" t="str">
        <x:v>$3,360</x:v>
      </x:c>
      <x:c r="I68" s="31" t="n">
        <x:f>ROUND(G68*J68,0)</x:f>
        <x:v>108528</x:v>
      </x:c>
      <x:c r="J68" s="32" t="n">
        <x:v>32.3</x:v>
      </x:c>
      <x:c r="K68" s="29" t="str">
        <x:v>Auction</x:v>
      </x:c>
      <x:c r="L68" s="29" t="str">
        <x:v>Fanatics</x:v>
      </x:c>
      <x:c r="M68" s="33" t="str">
        <x:v>https://www.fanaticscollect.com/weekly/de75d64e-b430-11f0-aec4-0a58a9feac02</x:v>
      </x:c>
    </x:row>
    <x:row r="69">
      <x:c r="A69" s="28" t="n">
        <x:v>45969</x:v>
      </x:c>
      <x:c r="B69" s="29" t="str">
        <x:v>Blastoise</x:v>
      </x:c>
      <x:c r="C69" s="29" t="str">
        <x:v>水箭龜</x:v>
      </x:c>
      <x:c r="D69" s="29" t="str">
        <x:v>CGC 8</x:v>
      </x:c>
      <x:c r="E69" s="29" t="str">
        <x:v>CGC</x:v>
      </x:c>
      <x:c r="F69" s="30" t="n">
        <x:v>699</x:v>
      </x:c>
      <x:c r="G69" s="30" t="n">
        <x:v>699</x:v>
      </x:c>
      <x:c r="H69" s="29" t="str">
        <x:v>$699</x:v>
      </x:c>
      <x:c r="I69" s="31" t="n">
        <x:f>ROUND(G69*J69,0)</x:f>
        <x:v>22578</x:v>
      </x:c>
      <x:c r="J69" s="32" t="n">
        <x:v>32.3</x:v>
      </x:c>
      <x:c r="K69" s="29" t="str">
        <x:v>Buy Now</x:v>
      </x:c>
      <x:c r="L69" s="29" t="str">
        <x:v>Fanatics</x:v>
      </x:c>
      <x:c r="M69" s="33" t="str">
        <x:v>https://www.fanaticscollect.com/fixed/993142a4-55cf-11f0-a0ac-0a58a9feac02</x:v>
      </x:c>
    </x:row>
    <x:row r="70">
      <x:c r="A70" s="28" t="n">
        <x:v>45963</x:v>
      </x:c>
      <x:c r="B70" s="29" t="str">
        <x:v>Charizard</x:v>
      </x:c>
      <x:c r="C70" s="29" t="str">
        <x:v>噴火龍</x:v>
      </x:c>
      <x:c r="D70" s="29" t="str">
        <x:v>PSA 8</x:v>
      </x:c>
      <x:c r="E70" s="29" t="str">
        <x:v>PSA</x:v>
      </x:c>
      <x:c r="F70" s="30" t="n">
        <x:v>3240</x:v>
      </x:c>
      <x:c r="G70" s="30" t="n">
        <x:v>3240</x:v>
      </x:c>
      <x:c r="H70" s="29" t="str">
        <x:v>$3,240</x:v>
      </x:c>
      <x:c r="I70" s="31" t="n">
        <x:f>ROUND(G70*J70,0)</x:f>
        <x:v>104652</x:v>
      </x:c>
      <x:c r="J70" s="32" t="n">
        <x:v>32.3</x:v>
      </x:c>
      <x:c r="K70" s="29" t="str">
        <x:v>Auction</x:v>
      </x:c>
      <x:c r="L70" s="29" t="str">
        <x:v>Fanatics</x:v>
      </x:c>
      <x:c r="M70" s="33" t="str">
        <x:v>https://www.fanaticscollect.com/weekly/0a758538-aecc-11f0-ae8e-0a58a9feac02</x:v>
      </x:c>
    </x:row>
    <x:row r="71">
      <x:c r="A71" s="28" t="n">
        <x:v>45956</x:v>
      </x:c>
      <x:c r="B71" s="29" t="str">
        <x:v>Charmander</x:v>
      </x:c>
      <x:c r="C71" s="29" t="str">
        <x:v>小火龍</x:v>
      </x:c>
      <x:c r="D71" s="29" t="str">
        <x:v>Raw</x:v>
      </x:c>
      <x:c r="E71" s="29" t="str">
        <x:v>Raw</x:v>
      </x:c>
      <x:c r="F71" s="30" t="n">
        <x:v>35</x:v>
      </x:c>
      <x:c r="G71" s="30" t="n">
        <x:v>35</x:v>
      </x:c>
      <x:c r="H71" s="29" t="str">
        <x:v>$35.00 USD</x:v>
      </x:c>
      <x:c r="I71" s="31" t="n">
        <x:f>ROUND(G71*J71,0)</x:f>
        <x:v>1131</x:v>
      </x:c>
      <x:c r="J71" s="32" t="n">
        <x:v>32.3</x:v>
      </x:c>
      <x:c r="K71" s="29" t="str">
        <x:v>Fixed Price</x:v>
      </x:c>
      <x:c r="L71" s="29" t="str">
        <x:v>eBay via 130point</x:v>
      </x:c>
      <x:c r="M71" s="33" t="str">
        <x:v>https://ebay.com/itm/136583788678?nordt=true</x:v>
      </x:c>
    </x:row>
    <x:row r="72">
      <x:c r="A72" s="28" t="n">
        <x:v>45956</x:v>
      </x:c>
      <x:c r="B72" s="29" t="str">
        <x:v>Charmander</x:v>
      </x:c>
      <x:c r="C72" s="29" t="str">
        <x:v>小火龍</x:v>
      </x:c>
      <x:c r="D72" s="29" t="str">
        <x:v>PSA 8</x:v>
      </x:c>
      <x:c r="E72" s="29" t="str">
        <x:v>PSA</x:v>
      </x:c>
      <x:c r="F72" s="30" t="n">
        <x:v>39.6</x:v>
      </x:c>
      <x:c r="G72" s="30" t="n">
        <x:v>39.6</x:v>
      </x:c>
      <x:c r="H72" s="29" t="str">
        <x:v>$39.60</x:v>
      </x:c>
      <x:c r="I72" s="31" t="n">
        <x:f>ROUND(G72*J72,0)</x:f>
        <x:v>1279</x:v>
      </x:c>
      <x:c r="J72" s="32" t="n">
        <x:v>32.3</x:v>
      </x:c>
      <x:c r="K72" s="29" t="str">
        <x:v>Auction</x:v>
      </x:c>
      <x:c r="L72" s="29" t="str">
        <x:v>Fanatics</x:v>
      </x:c>
      <x:c r="M72" s="33" t="str">
        <x:v>https://www.fanaticscollect.com/weekly/d259cf98-a00b-11f0-8f3a-0a58a9feac02</x:v>
      </x:c>
    </x:row>
    <x:row r="73">
      <x:c r="A73" s="28" t="n">
        <x:v>45956</x:v>
      </x:c>
      <x:c r="B73" s="29" t="str">
        <x:v>Gyarados</x:v>
      </x:c>
      <x:c r="C73" s="29" t="str">
        <x:v>暴鯉龍</x:v>
      </x:c>
      <x:c r="D73" s="29" t="str">
        <x:v>CGC 8</x:v>
      </x:c>
      <x:c r="E73" s="29" t="str">
        <x:v>CGC</x:v>
      </x:c>
      <x:c r="F73" s="30" t="n">
        <x:v>279</x:v>
      </x:c>
      <x:c r="G73" s="30" t="n">
        <x:v>279</x:v>
      </x:c>
      <x:c r="H73" s="29" t="str">
        <x:v>$279</x:v>
      </x:c>
      <x:c r="I73" s="31" t="n">
        <x:f>ROUND(G73*J73,0)</x:f>
        <x:v>9012</x:v>
      </x:c>
      <x:c r="J73" s="32" t="n">
        <x:v>32.3</x:v>
      </x:c>
      <x:c r="K73" s="29" t="str">
        <x:v>Buy Now</x:v>
      </x:c>
      <x:c r="L73" s="29" t="str">
        <x:v>Fanatics</x:v>
      </x:c>
      <x:c r="M73" s="33" t="str">
        <x:v>https://www.fanaticscollect.com/fixed/992087a2-55cf-11f0-82e1-0a58a9feac02</x:v>
      </x:c>
    </x:row>
    <x:row r="74">
      <x:c r="A74" s="28" t="n">
        <x:v>45956</x:v>
      </x:c>
      <x:c r="B74" s="29" t="str">
        <x:v>Raichu</x:v>
      </x:c>
      <x:c r="C74" s="29" t="str">
        <x:v>雷丘</x:v>
      </x:c>
      <x:c r="D74" s="29" t="str">
        <x:v>PSA 8</x:v>
      </x:c>
      <x:c r="E74" s="29" t="str">
        <x:v>PSA</x:v>
      </x:c>
      <x:c r="F74" s="30" t="n">
        <x:v>469</x:v>
      </x:c>
      <x:c r="G74" s="30" t="n">
        <x:v>469</x:v>
      </x:c>
      <x:c r="H74" s="29" t="str">
        <x:v>$469</x:v>
      </x:c>
      <x:c r="I74" s="31" t="n">
        <x:f>ROUND(G74*J74,0)</x:f>
        <x:v>15149</x:v>
      </x:c>
      <x:c r="J74" s="32" t="n">
        <x:v>32.3</x:v>
      </x:c>
      <x:c r="K74" s="29" t="str">
        <x:v>Buy Now</x:v>
      </x:c>
      <x:c r="L74" s="29" t="str">
        <x:v>Fanatics</x:v>
      </x:c>
      <x:c r="M74" s="33" t="str">
        <x:v>https://www.fanaticscollect.com/fixed/30f838d0-ac2f-11f0-9fd4-0a58a9feac02</x:v>
      </x:c>
    </x:row>
    <x:row r="75">
      <x:c r="A75" s="28" t="n">
        <x:v>45936</x:v>
      </x:c>
      <x:c r="B75" s="29" t="str">
        <x:v>Nidoking</x:v>
      </x:c>
      <x:c r="C75" s="29" t="str">
        <x:v>尼多王</x:v>
      </x:c>
      <x:c r="D75" s="29" t="str">
        <x:v>CGC 9</x:v>
      </x:c>
      <x:c r="E75" s="29" t="str">
        <x:v>CGC</x:v>
      </x:c>
      <x:c r="F75" s="30" t="n">
        <x:v>259</x:v>
      </x:c>
      <x:c r="G75" s="30" t="n">
        <x:v>259</x:v>
      </x:c>
      <x:c r="H75" s="29" t="str">
        <x:v>$259</x:v>
      </x:c>
      <x:c r="I75" s="31" t="n">
        <x:f>ROUND(G75*J75,0)</x:f>
        <x:v>8366</x:v>
      </x:c>
      <x:c r="J75" s="32" t="n">
        <x:v>32.3</x:v>
      </x:c>
      <x:c r="K75" s="29" t="str">
        <x:v>Buy Now</x:v>
      </x:c>
      <x:c r="L75" s="29" t="str">
        <x:v>Fanatics</x:v>
      </x:c>
      <x:c r="M75" s="33" t="str">
        <x:v>https://www.fanaticscollect.com/fixed/9877e156-55cf-11f0-978a-0a58a9feac02</x:v>
      </x:c>
    </x:row>
    <x:row r="76">
      <x:c r="A76" s="28" t="n">
        <x:v>45936</x:v>
      </x:c>
      <x:c r="B76" s="29" t="str">
        <x:v>Raichu</x:v>
      </x:c>
      <x:c r="C76" s="29" t="str">
        <x:v>雷丘</x:v>
      </x:c>
      <x:c r="D76" s="29" t="str">
        <x:v>PSA 8</x:v>
      </x:c>
      <x:c r="E76" s="29" t="str">
        <x:v>PSA</x:v>
      </x:c>
      <x:c r="F76" s="30" t="n">
        <x:v>499</x:v>
      </x:c>
      <x:c r="G76" s="30" t="n">
        <x:v>499</x:v>
      </x:c>
      <x:c r="H76" s="29" t="str">
        <x:v>$499</x:v>
      </x:c>
      <x:c r="I76" s="31" t="n">
        <x:f>ROUND(G76*J76,0)</x:f>
        <x:v>16118</x:v>
      </x:c>
      <x:c r="J76" s="32" t="n">
        <x:v>32.3</x:v>
      </x:c>
      <x:c r="K76" s="29" t="str">
        <x:v>Buy Now</x:v>
      </x:c>
      <x:c r="L76" s="29" t="str">
        <x:v>Fanatics</x:v>
      </x:c>
      <x:c r="M76" s="33" t="str">
        <x:v>https://www.fanaticscollect.com/fixed/4b3989b8-a4e9-11ef-921f-0a58a9feac02</x:v>
      </x:c>
    </x:row>
    <x:row r="77">
      <x:c r="A77" s="28" t="n">
        <x:v>45935</x:v>
      </x:c>
      <x:c r="B77" s="29" t="str">
        <x:v>Magneton</x:v>
      </x:c>
      <x:c r="C77" s="29" t="str">
        <x:v>三磁怪</x:v>
      </x:c>
      <x:c r="D77" s="29" t="str">
        <x:v>PSA 8</x:v>
      </x:c>
      <x:c r="E77" s="29" t="str">
        <x:v>PSA</x:v>
      </x:c>
      <x:c r="F77" s="30" t="n">
        <x:v>399</x:v>
      </x:c>
      <x:c r="G77" s="30" t="n">
        <x:v>399</x:v>
      </x:c>
      <x:c r="H77" s="29" t="str">
        <x:v>$399</x:v>
      </x:c>
      <x:c r="I77" s="31" t="n">
        <x:f>ROUND(G77*J77,0)</x:f>
        <x:v>12888</x:v>
      </x:c>
      <x:c r="J77" s="32" t="n">
        <x:v>32.3</x:v>
      </x:c>
      <x:c r="K77" s="29" t="str">
        <x:v>Buy Now</x:v>
      </x:c>
      <x:c r="L77" s="29" t="str">
        <x:v>Fanatics</x:v>
      </x:c>
      <x:c r="M77" s="33" t="str">
        <x:v>https://www.fanaticscollect.com/fixed/4b519f08-a4e9-11ef-905e-066fd678f893</x:v>
      </x:c>
    </x:row>
    <x:row r="78">
      <x:c r="A78" s="28" t="n">
        <x:v>45935</x:v>
      </x:c>
      <x:c r="B78" s="29" t="str">
        <x:v>Ninetales</x:v>
      </x:c>
      <x:c r="C78" s="29" t="str">
        <x:v>九尾</x:v>
      </x:c>
      <x:c r="D78" s="29" t="str">
        <x:v>PSA 8</x:v>
      </x:c>
      <x:c r="E78" s="29" t="str">
        <x:v>PSA</x:v>
      </x:c>
      <x:c r="F78" s="30" t="n">
        <x:v>399</x:v>
      </x:c>
      <x:c r="G78" s="30" t="n">
        <x:v>399</x:v>
      </x:c>
      <x:c r="H78" s="29" t="str">
        <x:v>$399</x:v>
      </x:c>
      <x:c r="I78" s="31" t="n">
        <x:f>ROUND(G78*J78,0)</x:f>
        <x:v>12888</x:v>
      </x:c>
      <x:c r="J78" s="32" t="n">
        <x:v>32.3</x:v>
      </x:c>
      <x:c r="K78" s="29" t="str">
        <x:v>Buy Now</x:v>
      </x:c>
      <x:c r="L78" s="29" t="str">
        <x:v>Fanatics</x:v>
      </x:c>
      <x:c r="M78" s="33" t="str">
        <x:v>https://www.fanaticscollect.com/fixed/4b3fc576-a4e9-11ef-833e-0a2e1c4db687</x:v>
      </x:c>
    </x:row>
    <x:row r="79">
      <x:c r="A79" s="28" t="n">
        <x:v>45931</x:v>
      </x:c>
      <x:c r="B79" s="29" t="str">
        <x:v>Hitmonchan</x:v>
      </x:c>
      <x:c r="C79" s="29" t="str">
        <x:v>快拳郎</x:v>
      </x:c>
      <x:c r="D79" s="29" t="str">
        <x:v>PSA 8</x:v>
      </x:c>
      <x:c r="E79" s="29" t="str">
        <x:v>PSA</x:v>
      </x:c>
      <x:c r="F79" s="30" t="n">
        <x:v>265</x:v>
      </x:c>
      <x:c r="G79" s="30" t="n">
        <x:v>265</x:v>
      </x:c>
      <x:c r="H79" s="29" t="str">
        <x:v>$265</x:v>
      </x:c>
      <x:c r="I79" s="31" t="n">
        <x:f>ROUND(G79*J79,0)</x:f>
        <x:v>8560</x:v>
      </x:c>
      <x:c r="J79" s="32" t="n">
        <x:v>32.3</x:v>
      </x:c>
      <x:c r="K79" s="29" t="str">
        <x:v>Buy Now</x:v>
      </x:c>
      <x:c r="L79" s="29" t="str">
        <x:v>Fanatics</x:v>
      </x:c>
      <x:c r="M79" s="33" t="str">
        <x:v>https://www.fanaticscollect.com/fixed/de93b16c-a4e8-11ef-a726-0a2e1c4db687</x:v>
      </x:c>
    </x:row>
    <x:row r="80">
      <x:c r="A80" s="28" t="n">
        <x:v>45922</x:v>
      </x:c>
      <x:c r="B80" s="29" t="str">
        <x:v>Ninetales</x:v>
      </x:c>
      <x:c r="C80" s="29" t="str">
        <x:v>九尾</x:v>
      </x:c>
      <x:c r="D80" s="29" t="str">
        <x:v>CGC 8.5</x:v>
      </x:c>
      <x:c r="E80" s="29" t="str">
        <x:v>CGC</x:v>
      </x:c>
      <x:c r="F80" s="30" t="n">
        <x:v>140</x:v>
      </x:c>
      <x:c r="G80" s="30" t="n">
        <x:v>140</x:v>
      </x:c>
      <x:c r="H80" s="29" t="str">
        <x:v>$140</x:v>
      </x:c>
      <x:c r="I80" s="31" t="n">
        <x:f>ROUND(G80*J80,0)</x:f>
        <x:v>4522</x:v>
      </x:c>
      <x:c r="J80" s="32" t="n">
        <x:v>32.3</x:v>
      </x:c>
      <x:c r="K80" s="29" t="str">
        <x:v>Buy Now</x:v>
      </x:c>
      <x:c r="L80" s="29" t="str">
        <x:v>Fanatics</x:v>
      </x:c>
      <x:c r="M80" s="33" t="str">
        <x:v>https://www.fanaticscollect.com/fixed/98cd526c-55cf-11f0-b25d-0a58a9feac02</x:v>
      </x:c>
    </x:row>
    <x:row r="81">
      <x:c r="A81" s="28" t="n">
        <x:v>45922</x:v>
      </x:c>
      <x:c r="B81" s="29" t="str">
        <x:v>Zapdos</x:v>
      </x:c>
      <x:c r="C81" s="29" t="str">
        <x:v>閃電鳥</x:v>
      </x:c>
      <x:c r="D81" s="29" t="str">
        <x:v>CGC 8</x:v>
      </x:c>
      <x:c r="E81" s="29" t="str">
        <x:v>CGC</x:v>
      </x:c>
      <x:c r="F81" s="30" t="n">
        <x:v>141</x:v>
      </x:c>
      <x:c r="G81" s="30" t="n">
        <x:v>141</x:v>
      </x:c>
      <x:c r="H81" s="29" t="str">
        <x:v>$141</x:v>
      </x:c>
      <x:c r="I81" s="31" t="n">
        <x:f>ROUND(G81*J81,0)</x:f>
        <x:v>4554</x:v>
      </x:c>
      <x:c r="J81" s="32" t="n">
        <x:v>32.3</x:v>
      </x:c>
      <x:c r="K81" s="29" t="str">
        <x:v>Buy Now</x:v>
      </x:c>
      <x:c r="L81" s="29" t="str">
        <x:v>Fanatics</x:v>
      </x:c>
      <x:c r="M81" s="33" t="str">
        <x:v>https://www.fanaticscollect.com/fixed/98abd83a-55cf-11f0-b744-0a58a9feac02</x:v>
      </x:c>
    </x:row>
    <x:row r="82">
      <x:c r="A82" s="28" t="n">
        <x:v>45921</x:v>
      </x:c>
      <x:c r="B82" s="29" t="str">
        <x:v>Charmander</x:v>
      </x:c>
      <x:c r="C82" s="29" t="str">
        <x:v>小火龍</x:v>
      </x:c>
      <x:c r="D82" s="29" t="str">
        <x:v>CGC 8.5</x:v>
      </x:c>
      <x:c r="E82" s="29" t="str">
        <x:v>CGC</x:v>
      </x:c>
      <x:c r="F82" s="30" t="n">
        <x:v>62.4</x:v>
      </x:c>
      <x:c r="G82" s="30" t="n">
        <x:v>62.4</x:v>
      </x:c>
      <x:c r="H82" s="29" t="str">
        <x:v>$62.40</x:v>
      </x:c>
      <x:c r="I82" s="31" t="n">
        <x:f>ROUND(G82*J82,0)</x:f>
        <x:v>2016</x:v>
      </x:c>
      <x:c r="J82" s="32" t="n">
        <x:v>32.3</x:v>
      </x:c>
      <x:c r="K82" s="29" t="str">
        <x:v>Auction</x:v>
      </x:c>
      <x:c r="L82" s="29" t="str">
        <x:v>Fanatics</x:v>
      </x:c>
      <x:c r="M82" s="33" t="str">
        <x:v>https://www.fanaticscollect.com/weekly/40d81fb0-8d92-11f0-894a-06e64cb10daf</x:v>
      </x:c>
    </x:row>
    <x:row r="83">
      <x:c r="A83" s="28" t="n">
        <x:v>45906</x:v>
      </x:c>
      <x:c r="B83" s="29" t="str">
        <x:v>Raichu</x:v>
      </x:c>
      <x:c r="C83" s="29" t="str">
        <x:v>雷丘</x:v>
      </x:c>
      <x:c r="D83" s="29" t="str">
        <x:v>PSA 8</x:v>
      </x:c>
      <x:c r="E83" s="29" t="str">
        <x:v>PSA</x:v>
      </x:c>
      <x:c r="F83" s="30" t="n">
        <x:v>233</x:v>
      </x:c>
      <x:c r="G83" s="30" t="n">
        <x:v>233</x:v>
      </x:c>
      <x:c r="H83" s="29" t="str">
        <x:v>$233</x:v>
      </x:c>
      <x:c r="I83" s="31" t="n">
        <x:f>ROUND(G83*J83,0)</x:f>
        <x:v>7526</x:v>
      </x:c>
      <x:c r="J83" s="32" t="n">
        <x:v>32.3</x:v>
      </x:c>
      <x:c r="K83" s="29" t="str">
        <x:v>Buy Now</x:v>
      </x:c>
      <x:c r="L83" s="29" t="str">
        <x:v>Fanatics</x:v>
      </x:c>
      <x:c r="M83" s="33" t="str">
        <x:v>https://www.fanaticscollect.com/fixed/9515f102-8b9d-11f0-b972-0612914d4255</x:v>
      </x:c>
    </x:row>
    <x:row r="84">
      <x:c r="A84" s="28" t="n">
        <x:v>45905</x:v>
      </x:c>
      <x:c r="B84" s="29" t="str">
        <x:v>Alakazam</x:v>
      </x:c>
      <x:c r="C84" s="29" t="str">
        <x:v>胡地</x:v>
      </x:c>
      <x:c r="D84" s="29" t="str">
        <x:v>PSA 8</x:v>
      </x:c>
      <x:c r="E84" s="29" t="str">
        <x:v>PSA</x:v>
      </x:c>
      <x:c r="F84" s="30" t="n">
        <x:v>399</x:v>
      </x:c>
      <x:c r="G84" s="30" t="n">
        <x:v>399</x:v>
      </x:c>
      <x:c r="H84" s="29" t="str">
        <x:v>$399</x:v>
      </x:c>
      <x:c r="I84" s="31" t="n">
        <x:f>ROUND(G84*J84,0)</x:f>
        <x:v>12888</x:v>
      </x:c>
      <x:c r="J84" s="32" t="n">
        <x:v>32.3</x:v>
      </x:c>
      <x:c r="K84" s="29" t="str">
        <x:v>Buy Now</x:v>
      </x:c>
      <x:c r="L84" s="29" t="str">
        <x:v>Fanatics</x:v>
      </x:c>
      <x:c r="M84" s="33" t="str">
        <x:v>https://www.fanaticscollect.com/fixed/c05777e2-a4e8-11ef-a7a6-0a2e1c4db687</x:v>
      </x:c>
    </x:row>
    <x:row r="85">
      <x:c r="A85" s="28" t="n">
        <x:v>45905</x:v>
      </x:c>
      <x:c r="B85" s="29" t="str">
        <x:v>Raichu</x:v>
      </x:c>
      <x:c r="C85" s="29" t="str">
        <x:v>雷丘</x:v>
      </x:c>
      <x:c r="D85" s="29" t="str">
        <x:v>CGC 9</x:v>
      </x:c>
      <x:c r="E85" s="29" t="str">
        <x:v>CGC</x:v>
      </x:c>
      <x:c r="F85" s="30" t="n">
        <x:v>448</x:v>
      </x:c>
      <x:c r="G85" s="30" t="n">
        <x:v>448</x:v>
      </x:c>
      <x:c r="H85" s="29" t="str">
        <x:v>$448</x:v>
      </x:c>
      <x:c r="I85" s="31" t="n">
        <x:f>ROUND(G85*J85,0)</x:f>
        <x:v>14470</x:v>
      </x:c>
      <x:c r="J85" s="32" t="n">
        <x:v>32.3</x:v>
      </x:c>
      <x:c r="K85" s="29" t="str">
        <x:v>Buy Now</x:v>
      </x:c>
      <x:c r="L85" s="29" t="str">
        <x:v>Fanatics</x:v>
      </x:c>
      <x:c r="M85" s="33" t="str">
        <x:v>https://www.fanaticscollect.com/fixed/98665814-55cf-11f0-a5eb-0a58a9feac02</x:v>
      </x:c>
    </x:row>
    <x:row r="86">
      <x:c r="A86" s="28" t="n">
        <x:v>45905</x:v>
      </x:c>
      <x:c r="B86" s="29" t="str">
        <x:v>Venusaur</x:v>
      </x:c>
      <x:c r="C86" s="29" t="str">
        <x:v>妙蛙花</x:v>
      </x:c>
      <x:c r="D86" s="29" t="str">
        <x:v>CGC 8</x:v>
      </x:c>
      <x:c r="E86" s="29" t="str">
        <x:v>CGC</x:v>
      </x:c>
      <x:c r="F86" s="30" t="n">
        <x:v>437</x:v>
      </x:c>
      <x:c r="G86" s="30" t="n">
        <x:v>437</x:v>
      </x:c>
      <x:c r="H86" s="29" t="str">
        <x:v>$437</x:v>
      </x:c>
      <x:c r="I86" s="31" t="n">
        <x:f>ROUND(G86*J86,0)</x:f>
        <x:v>14115</x:v>
      </x:c>
      <x:c r="J86" s="32" t="n">
        <x:v>32.3</x:v>
      </x:c>
      <x:c r="K86" s="29" t="str">
        <x:v>Buy Now</x:v>
      </x:c>
      <x:c r="L86" s="29" t="str">
        <x:v>Fanatics</x:v>
      </x:c>
      <x:c r="M86" s="33" t="str">
        <x:v>https://www.fanaticscollect.com/fixed/98bcb1a0-55cf-11f0-9851-0a58a9feac02</x:v>
      </x:c>
    </x:row>
    <x:row r="87">
      <x:c r="A87" s="28" t="n">
        <x:v>45902</x:v>
      </x:c>
      <x:c r="B87" s="29" t="str">
        <x:v>Venusaur</x:v>
      </x:c>
      <x:c r="C87" s="29" t="str">
        <x:v>妙蛙花</x:v>
      </x:c>
      <x:c r="D87" s="29" t="str">
        <x:v>CGC 8.5</x:v>
      </x:c>
      <x:c r="E87" s="29" t="str">
        <x:v>CGC</x:v>
      </x:c>
      <x:c r="F87" s="30" t="n">
        <x:v>499</x:v>
      </x:c>
      <x:c r="G87" s="30" t="n">
        <x:v>499</x:v>
      </x:c>
      <x:c r="H87" s="29" t="str">
        <x:v>$499</x:v>
      </x:c>
      <x:c r="I87" s="31" t="n">
        <x:f>ROUND(G87*J87,0)</x:f>
        <x:v>16118</x:v>
      </x:c>
      <x:c r="J87" s="32" t="n">
        <x:v>32.3</x:v>
      </x:c>
      <x:c r="K87" s="29" t="str">
        <x:v>Buy Now</x:v>
      </x:c>
      <x:c r="L87" s="29" t="str">
        <x:v>Fanatics</x:v>
      </x:c>
      <x:c r="M87" s="33" t="str">
        <x:v>https://www.fanaticscollect.com/fixed/9855adb6-55cf-11f0-9bff-0a58a9feac02</x:v>
      </x:c>
    </x:row>
    <x:row r="88">
      <x:c r="A88" s="28" t="n">
        <x:v>45873</x:v>
      </x:c>
      <x:c r="B88" s="29" t="str">
        <x:v>Blastoise</x:v>
      </x:c>
      <x:c r="C88" s="29" t="str">
        <x:v>水箭龜</x:v>
      </x:c>
      <x:c r="D88" s="29" t="str">
        <x:v>PSA 8</x:v>
      </x:c>
      <x:c r="E88" s="29" t="str">
        <x:v>PSA</x:v>
      </x:c>
      <x:c r="F88" s="30" t="n">
        <x:v>588</x:v>
      </x:c>
      <x:c r="G88" s="30" t="n">
        <x:v>588</x:v>
      </x:c>
      <x:c r="H88" s="29" t="str">
        <x:v>$588</x:v>
      </x:c>
      <x:c r="I88" s="31" t="n">
        <x:f>ROUND(G88*J88,0)</x:f>
        <x:v>18992</x:v>
      </x:c>
      <x:c r="J88" s="32" t="n">
        <x:v>32.3</x:v>
      </x:c>
      <x:c r="K88" s="29" t="str">
        <x:v>Auction</x:v>
      </x:c>
      <x:c r="L88" s="29" t="str">
        <x:v>Fanatics</x:v>
      </x:c>
      <x:c r="M88" s="33" t="str">
        <x:v>https://www.fanaticscollect.com/weekly/7f712faa-62f9-11f0-b4f1-0a58a9feac02</x:v>
      </x:c>
    </x:row>
    <x:row r="89">
      <x:c r="A89" s="28" t="n">
        <x:v>45873</x:v>
      </x:c>
      <x:c r="B89" s="29" t="str">
        <x:v>Chansey</x:v>
      </x:c>
      <x:c r="C89" s="29" t="str">
        <x:v>吉利蛋</x:v>
      </x:c>
      <x:c r="D89" s="29" t="str">
        <x:v>CGC 8</x:v>
      </x:c>
      <x:c r="E89" s="29" t="str">
        <x:v>CGC</x:v>
      </x:c>
      <x:c r="F89" s="30" t="n">
        <x:v>208</x:v>
      </x:c>
      <x:c r="G89" s="30" t="n">
        <x:v>208</x:v>
      </x:c>
      <x:c r="H89" s="29" t="str">
        <x:v>$208</x:v>
      </x:c>
      <x:c r="I89" s="31" t="n">
        <x:f>ROUND(G89*J89,0)</x:f>
        <x:v>6718</x:v>
      </x:c>
      <x:c r="J89" s="32" t="n">
        <x:v>32.3</x:v>
      </x:c>
      <x:c r="K89" s="29" t="str">
        <x:v>Buy Now</x:v>
      </x:c>
      <x:c r="L89" s="29" t="str">
        <x:v>Fanatics</x:v>
      </x:c>
      <x:c r="M89" s="33" t="str">
        <x:v>https://www.fanaticscollect.com/fixed/3ca3f398-64d8-11f0-b54a-0a58a9feac02</x:v>
      </x:c>
    </x:row>
    <x:row r="90">
      <x:c r="A90" s="28" t="n">
        <x:v>45873</x:v>
      </x:c>
      <x:c r="B90" s="29" t="str">
        <x:v>Raichu</x:v>
      </x:c>
      <x:c r="C90" s="29" t="str">
        <x:v>雷丘</x:v>
      </x:c>
      <x:c r="D90" s="29" t="str">
        <x:v>CGC 8</x:v>
      </x:c>
      <x:c r="E90" s="29" t="str">
        <x:v>CGC</x:v>
      </x:c>
      <x:c r="F90" s="30" t="n">
        <x:v>178</x:v>
      </x:c>
      <x:c r="G90" s="30" t="n">
        <x:v>178</x:v>
      </x:c>
      <x:c r="H90" s="29" t="str">
        <x:v>$178</x:v>
      </x:c>
      <x:c r="I90" s="31" t="n">
        <x:f>ROUND(G90*J90,0)</x:f>
        <x:v>5749</x:v>
      </x:c>
      <x:c r="J90" s="32" t="n">
        <x:v>32.3</x:v>
      </x:c>
      <x:c r="K90" s="29" t="str">
        <x:v>Buy Now</x:v>
      </x:c>
      <x:c r="L90" s="29" t="str">
        <x:v>Fanatics</x:v>
      </x:c>
      <x:c r="M90" s="33" t="str">
        <x:v>https://www.fanaticscollect.com/fixed/3cbf73d4-64d8-11f0-a87e-0a58a9feac02</x:v>
      </x:c>
    </x:row>
    <x:row r="91">
      <x:c r="A91" s="28" t="n">
        <x:v>45870</x:v>
      </x:c>
      <x:c r="B91" s="29" t="str">
        <x:v>Mewtwo</x:v>
      </x:c>
      <x:c r="C91" s="29" t="str">
        <x:v>超夢</x:v>
      </x:c>
      <x:c r="D91" s="29" t="str">
        <x:v>CGC 8.5</x:v>
      </x:c>
      <x:c r="E91" s="29" t="str">
        <x:v>CGC</x:v>
      </x:c>
      <x:c r="F91" s="30" t="n">
        <x:v>337</x:v>
      </x:c>
      <x:c r="G91" s="30" t="n">
        <x:v>337</x:v>
      </x:c>
      <x:c r="H91" s="29" t="str">
        <x:v>$337</x:v>
      </x:c>
      <x:c r="I91" s="31" t="n">
        <x:f>ROUND(G91*J91,0)</x:f>
        <x:v>10885</x:v>
      </x:c>
      <x:c r="J91" s="32" t="n">
        <x:v>32.3</x:v>
      </x:c>
      <x:c r="K91" s="29" t="str">
        <x:v>Buy Now</x:v>
      </x:c>
      <x:c r="L91" s="29" t="str">
        <x:v>Fanatics</x:v>
      </x:c>
      <x:c r="M91" s="33" t="str">
        <x:v>https://www.fanaticscollect.com/fixed/98de0224-55cf-11f0-a0ed-0a58a9feac02</x:v>
      </x:c>
    </x:row>
    <x:row r="92">
      <x:c r="A92" s="28" t="n">
        <x:v>45865</x:v>
      </x:c>
      <x:c r="B92" s="29" t="str">
        <x:v>Ivysaur</x:v>
      </x:c>
      <x:c r="C92" s="29" t="str">
        <x:v>妙蛙草</x:v>
      </x:c>
      <x:c r="D92" s="29" t="str">
        <x:v>PSA 10</x:v>
      </x:c>
      <x:c r="E92" s="29" t="str">
        <x:v>PSA</x:v>
      </x:c>
      <x:c r="F92" s="30" t="n">
        <x:v>396</x:v>
      </x:c>
      <x:c r="G92" s="30" t="n">
        <x:v>396</x:v>
      </x:c>
      <x:c r="H92" s="29" t="str">
        <x:v>$396</x:v>
      </x:c>
      <x:c r="I92" s="31" t="n">
        <x:f>ROUND(G92*J92,0)</x:f>
        <x:v>12791</x:v>
      </x:c>
      <x:c r="J92" s="32" t="n">
        <x:v>32.3</x:v>
      </x:c>
      <x:c r="K92" s="29" t="str">
        <x:v>Auction</x:v>
      </x:c>
      <x:c r="L92" s="29" t="str">
        <x:v>Fanatics</x:v>
      </x:c>
      <x:c r="M92" s="33" t="str">
        <x:v>https://www.fanaticscollect.com/weekly/2d758338-6298-11f0-b11f-02afd2a02dab</x:v>
      </x:c>
    </x:row>
    <x:row r="93">
      <x:c r="A93" s="28" t="n">
        <x:v>45858</x:v>
      </x:c>
      <x:c r="B93" s="29" t="str">
        <x:v>Hitmonchan</x:v>
      </x:c>
      <x:c r="C93" s="29" t="str">
        <x:v>快拳郎</x:v>
      </x:c>
      <x:c r="D93" s="29" t="str">
        <x:v>CGC 8</x:v>
      </x:c>
      <x:c r="E93" s="29" t="str">
        <x:v>CGC</x:v>
      </x:c>
      <x:c r="F93" s="30" t="n">
        <x:v>103.2</x:v>
      </x:c>
      <x:c r="G93" s="30" t="n">
        <x:v>103.2</x:v>
      </x:c>
      <x:c r="H93" s="29" t="str">
        <x:v>$103.20</x:v>
      </x:c>
      <x:c r="I93" s="31" t="n">
        <x:f>ROUND(G93*J93,0)</x:f>
        <x:v>3333</x:v>
      </x:c>
      <x:c r="J93" s="32" t="n">
        <x:v>32.3</x:v>
      </x:c>
      <x:c r="K93" s="29" t="str">
        <x:v>Auction</x:v>
      </x:c>
      <x:c r="L93" s="29" t="str">
        <x:v>Fanatics</x:v>
      </x:c>
      <x:c r="M93" s="33" t="str">
        <x:v>https://www.fanaticscollect.com/weekly/2fa99d50-5c1d-11f0-b04d-0a58a9feac02</x:v>
      </x:c>
    </x:row>
    <x:row r="94">
      <x:c r="A94" s="28" t="n">
        <x:v>45854</x:v>
      </x:c>
      <x:c r="B94" s="29" t="str">
        <x:v>Mewtwo</x:v>
      </x:c>
      <x:c r="C94" s="29" t="str">
        <x:v>超夢</x:v>
      </x:c>
      <x:c r="D94" s="29" t="str">
        <x:v>PSA 8</x:v>
      </x:c>
      <x:c r="E94" s="29" t="str">
        <x:v>PSA</x:v>
      </x:c>
      <x:c r="F94" s="30" t="n">
        <x:v>300</x:v>
      </x:c>
      <x:c r="G94" s="30" t="n">
        <x:v>300</x:v>
      </x:c>
      <x:c r="H94" s="29" t="str">
        <x:v>$300</x:v>
      </x:c>
      <x:c r="I94" s="31" t="n">
        <x:f>ROUND(G94*J94,0)</x:f>
        <x:v>9690</x:v>
      </x:c>
      <x:c r="J94" s="32" t="n">
        <x:v>32.3</x:v>
      </x:c>
      <x:c r="K94" s="29" t="str">
        <x:v>Buy Now</x:v>
      </x:c>
      <x:c r="L94" s="29" t="str">
        <x:v>Fanatics</x:v>
      </x:c>
      <x:c r="M94" s="33" t="str">
        <x:v>https://www.fanaticscollect.com/fixed/4b463604-a4e9-11ef-aa0e-066fd678f893</x:v>
      </x:c>
    </x:row>
    <x:row r="95">
      <x:c r="A95" s="28" t="n">
        <x:v>45844</x:v>
      </x:c>
      <x:c r="B95" s="29" t="str">
        <x:v>Chansey</x:v>
      </x:c>
      <x:c r="C95" s="29" t="str">
        <x:v>吉利蛋</x:v>
      </x:c>
      <x:c r="D95" s="29" t="str">
        <x:v>CGC 8.5</x:v>
      </x:c>
      <x:c r="E95" s="29" t="str">
        <x:v>CGC</x:v>
      </x:c>
      <x:c r="F95" s="30" t="n">
        <x:v>186</x:v>
      </x:c>
      <x:c r="G95" s="30" t="n">
        <x:v>186</x:v>
      </x:c>
      <x:c r="H95" s="29" t="str">
        <x:v>$186</x:v>
      </x:c>
      <x:c r="I95" s="31" t="n">
        <x:f>ROUND(G95*J95,0)</x:f>
        <x:v>6008</x:v>
      </x:c>
      <x:c r="J95" s="32" t="n">
        <x:v>32.3</x:v>
      </x:c>
      <x:c r="K95" s="29" t="str">
        <x:v>Auction</x:v>
      </x:c>
      <x:c r="L95" s="29" t="str">
        <x:v>Fanatics</x:v>
      </x:c>
      <x:c r="M95" s="33" t="str">
        <x:v>https://www.fanaticscollect.com/weekly/a1aa9516-5228-11f0-8a56-0a58a9feac02</x:v>
      </x:c>
    </x:row>
    <x:row r="96">
      <x:c r="A96" s="28" t="n">
        <x:v>45844</x:v>
      </x:c>
      <x:c r="B96" s="29" t="str">
        <x:v>Gyarados</x:v>
      </x:c>
      <x:c r="C96" s="29" t="str">
        <x:v>暴鯉龍</x:v>
      </x:c>
      <x:c r="D96" s="29" t="str">
        <x:v>CGC 8</x:v>
      </x:c>
      <x:c r="E96" s="29" t="str">
        <x:v>CGC</x:v>
      </x:c>
      <x:c r="F96" s="30" t="n">
        <x:v>204</x:v>
      </x:c>
      <x:c r="G96" s="30" t="n">
        <x:v>204</x:v>
      </x:c>
      <x:c r="H96" s="29" t="str">
        <x:v>$204</x:v>
      </x:c>
      <x:c r="I96" s="31" t="n">
        <x:f>ROUND(G96*J96,0)</x:f>
        <x:v>6589</x:v>
      </x:c>
      <x:c r="J96" s="32" t="n">
        <x:v>32.3</x:v>
      </x:c>
      <x:c r="K96" s="29" t="str">
        <x:v>Auction</x:v>
      </x:c>
      <x:c r="L96" s="29" t="str">
        <x:v>Fanatics</x:v>
      </x:c>
      <x:c r="M96" s="33" t="str">
        <x:v>https://www.fanaticscollect.com/weekly/a20c8cd0-5228-11f0-b36d-0a58a9feac02</x:v>
      </x:c>
    </x:row>
    <x:row r="97">
      <x:c r="A97" s="28" t="n">
        <x:v>45844</x:v>
      </x:c>
      <x:c r="B97" s="29" t="str">
        <x:v>Hitmonchan</x:v>
      </x:c>
      <x:c r="C97" s="29" t="str">
        <x:v>快拳郎</x:v>
      </x:c>
      <x:c r="D97" s="29" t="str">
        <x:v>CGC 8.5</x:v>
      </x:c>
      <x:c r="E97" s="29" t="str">
        <x:v>CGC</x:v>
      </x:c>
      <x:c r="F97" s="30" t="n">
        <x:v>100.8</x:v>
      </x:c>
      <x:c r="G97" s="30" t="n">
        <x:v>100.8</x:v>
      </x:c>
      <x:c r="H97" s="29" t="str">
        <x:v>$100.80</x:v>
      </x:c>
      <x:c r="I97" s="31" t="n">
        <x:f>ROUND(G97*J97,0)</x:f>
        <x:v>3256</x:v>
      </x:c>
      <x:c r="J97" s="32" t="n">
        <x:v>32.3</x:v>
      </x:c>
      <x:c r="K97" s="29" t="str">
        <x:v>Auction</x:v>
      </x:c>
      <x:c r="L97" s="29" t="str">
        <x:v>Fanatics</x:v>
      </x:c>
      <x:c r="M97" s="33" t="str">
        <x:v>https://www.fanaticscollect.com/weekly/a207dabe-5228-11f0-9884-0a58a9feac02</x:v>
      </x:c>
    </x:row>
    <x:row r="98">
      <x:c r="A98" s="28" t="n">
        <x:v>45844</x:v>
      </x:c>
      <x:c r="B98" s="29" t="str">
        <x:v>Magneton</x:v>
      </x:c>
      <x:c r="C98" s="29" t="str">
        <x:v>三磁怪</x:v>
      </x:c>
      <x:c r="D98" s="29" t="str">
        <x:v>CGC 8.5</x:v>
      </x:c>
      <x:c r="E98" s="29" t="str">
        <x:v>CGC</x:v>
      </x:c>
      <x:c r="F98" s="30" t="n">
        <x:v>108</x:v>
      </x:c>
      <x:c r="G98" s="30" t="n">
        <x:v>108</x:v>
      </x:c>
      <x:c r="H98" s="29" t="str">
        <x:v>$108</x:v>
      </x:c>
      <x:c r="I98" s="31" t="n">
        <x:f>ROUND(G98*J98,0)</x:f>
        <x:v>3488</x:v>
      </x:c>
      <x:c r="J98" s="32" t="n">
        <x:v>32.3</x:v>
      </x:c>
      <x:c r="K98" s="29" t="str">
        <x:v>Auction</x:v>
      </x:c>
      <x:c r="L98" s="29" t="str">
        <x:v>Fanatics</x:v>
      </x:c>
      <x:c r="M98" s="33" t="str">
        <x:v>https://www.fanaticscollect.com/weekly/a2113866-5228-11f0-abd5-0a58a9feac02</x:v>
      </x:c>
    </x:row>
    <x:row r="99">
      <x:c r="A99" s="28" t="n">
        <x:v>45844</x:v>
      </x:c>
      <x:c r="B99" s="29" t="str">
        <x:v>Mewtwo</x:v>
      </x:c>
      <x:c r="C99" s="29" t="str">
        <x:v>超夢</x:v>
      </x:c>
      <x:c r="D99" s="29" t="str">
        <x:v>CGC 8</x:v>
      </x:c>
      <x:c r="E99" s="29" t="str">
        <x:v>CGC</x:v>
      </x:c>
      <x:c r="F99" s="30" t="n">
        <x:v>186</x:v>
      </x:c>
      <x:c r="G99" s="30" t="n">
        <x:v>186</x:v>
      </x:c>
      <x:c r="H99" s="29" t="str">
        <x:v>$186</x:v>
      </x:c>
      <x:c r="I99" s="31" t="n">
        <x:f>ROUND(G99*J99,0)</x:f>
        <x:v>6008</x:v>
      </x:c>
      <x:c r="J99" s="32" t="n">
        <x:v>32.3</x:v>
      </x:c>
      <x:c r="K99" s="29" t="str">
        <x:v>Auction</x:v>
      </x:c>
      <x:c r="L99" s="29" t="str">
        <x:v>Fanatics</x:v>
      </x:c>
      <x:c r="M99" s="33" t="str">
        <x:v>https://www.fanaticscollect.com/weekly/a1d48fa6-5228-11f0-9f73-0a58a9feac02</x:v>
      </x:c>
    </x:row>
    <x:row r="100">
      <x:c r="A100" s="28" t="n">
        <x:v>45844</x:v>
      </x:c>
      <x:c r="B100" s="29" t="str">
        <x:v>Nidoking</x:v>
      </x:c>
      <x:c r="C100" s="29" t="str">
        <x:v>尼多王</x:v>
      </x:c>
      <x:c r="D100" s="29" t="str">
        <x:v>CGC 8</x:v>
      </x:c>
      <x:c r="E100" s="29" t="str">
        <x:v>CGC</x:v>
      </x:c>
      <x:c r="F100" s="30" t="n">
        <x:v>79.2</x:v>
      </x:c>
      <x:c r="G100" s="30" t="n">
        <x:v>79.2</x:v>
      </x:c>
      <x:c r="H100" s="29" t="str">
        <x:v>$79.20</x:v>
      </x:c>
      <x:c r="I100" s="31" t="n">
        <x:f>ROUND(G100*J100,0)</x:f>
        <x:v>2558</x:v>
      </x:c>
      <x:c r="J100" s="32" t="n">
        <x:v>32.3</x:v>
      </x:c>
      <x:c r="K100" s="29" t="str">
        <x:v>Auction</x:v>
      </x:c>
      <x:c r="L100" s="29" t="str">
        <x:v>Fanatics</x:v>
      </x:c>
      <x:c r="M100" s="33" t="str">
        <x:v>https://www.fanaticscollect.com/weekly/a1635548-5228-11f0-aacc-0a58a9feac02</x:v>
      </x:c>
    </x:row>
    <x:row r="101">
      <x:c r="A101" s="28" t="n">
        <x:v>45844</x:v>
      </x:c>
      <x:c r="B101" s="29" t="str">
        <x:v>Ninetales</x:v>
      </x:c>
      <x:c r="C101" s="29" t="str">
        <x:v>九尾</x:v>
      </x:c>
      <x:c r="D101" s="29" t="str">
        <x:v>CGC 8</x:v>
      </x:c>
      <x:c r="E101" s="29" t="str">
        <x:v>CGC</x:v>
      </x:c>
      <x:c r="F101" s="30" t="n">
        <x:v>100.8</x:v>
      </x:c>
      <x:c r="G101" s="30" t="n">
        <x:v>100.8</x:v>
      </x:c>
      <x:c r="H101" s="29" t="str">
        <x:v>$100.80</x:v>
      </x:c>
      <x:c r="I101" s="31" t="n">
        <x:f>ROUND(G101*J101,0)</x:f>
        <x:v>3256</x:v>
      </x:c>
      <x:c r="J101" s="32" t="n">
        <x:v>32.3</x:v>
      </x:c>
      <x:c r="K101" s="29" t="str">
        <x:v>Auction</x:v>
      </x:c>
      <x:c r="L101" s="29" t="str">
        <x:v>Fanatics</x:v>
      </x:c>
      <x:c r="M101" s="33" t="str">
        <x:v>https://www.fanaticscollect.com/weekly/a1a5b55a-5228-11f0-be99-0a58a9feac02</x:v>
      </x:c>
    </x:row>
    <x:row r="102">
      <x:c r="A102" s="28" t="n">
        <x:v>45844</x:v>
      </x:c>
      <x:c r="B102" s="29" t="str">
        <x:v>Venusaur</x:v>
      </x:c>
      <x:c r="C102" s="29" t="str">
        <x:v>妙蛙花</x:v>
      </x:c>
      <x:c r="D102" s="29" t="str">
        <x:v>CGC 8.5</x:v>
      </x:c>
      <x:c r="E102" s="29" t="str">
        <x:v>CGC</x:v>
      </x:c>
      <x:c r="F102" s="30" t="n">
        <x:v>324</x:v>
      </x:c>
      <x:c r="G102" s="30" t="n">
        <x:v>324</x:v>
      </x:c>
      <x:c r="H102" s="29" t="str">
        <x:v>$324</x:v>
      </x:c>
      <x:c r="I102" s="31" t="n">
        <x:f>ROUND(G102*J102,0)</x:f>
        <x:v>10465</x:v>
      </x:c>
      <x:c r="J102" s="32" t="n">
        <x:v>32.3</x:v>
      </x:c>
      <x:c r="K102" s="29" t="str">
        <x:v>Auction</x:v>
      </x:c>
      <x:c r="L102" s="29" t="str">
        <x:v>Fanatics</x:v>
      </x:c>
      <x:c r="M102" s="33" t="str">
        <x:v>https://www.fanaticscollect.com/weekly/a1d01ed0-5228-11f0-ba7f-0a58a9feac02</x:v>
      </x:c>
    </x:row>
    <x:row r="103">
      <x:c r="A103" s="28" t="n">
        <x:v>45842</x:v>
      </x:c>
      <x:c r="B103" s="29" t="str">
        <x:v>Poliwrath</x:v>
      </x:c>
      <x:c r="C103" s="29" t="str">
        <x:v>蚊香士</x:v>
      </x:c>
      <x:c r="D103" s="29" t="str">
        <x:v>CGC 8.5</x:v>
      </x:c>
      <x:c r="E103" s="29" t="str">
        <x:v>CGC</x:v>
      </x:c>
      <x:c r="F103" s="30" t="n">
        <x:v>106</x:v>
      </x:c>
      <x:c r="G103" s="30" t="n">
        <x:v>106</x:v>
      </x:c>
      <x:c r="H103" s="29" t="str">
        <x:v>$106</x:v>
      </x:c>
      <x:c r="I103" s="31" t="n">
        <x:f>ROUND(G103*J103,0)</x:f>
        <x:v>3424</x:v>
      </x:c>
      <x:c r="J103" s="32" t="n">
        <x:v>32.3</x:v>
      </x:c>
      <x:c r="K103" s="29" t="str">
        <x:v>Buy Now</x:v>
      </x:c>
      <x:c r="L103" s="29" t="str">
        <x:v>Fanatics</x:v>
      </x:c>
      <x:c r="M103" s="33" t="str">
        <x:v>https://www.fanaticscollect.com/fixed/9941c494-55cf-11f0-a2fc-0a58a9feac02</x:v>
      </x:c>
    </x:row>
    <x:row r="104">
      <x:c r="A104" s="28" t="n">
        <x:v>45839</x:v>
      </x:c>
      <x:c r="B104" s="29" t="str">
        <x:v>Zapdos</x:v>
      </x:c>
      <x:c r="C104" s="29" t="str">
        <x:v>閃電鳥</x:v>
      </x:c>
      <x:c r="D104" s="29" t="str">
        <x:v>CGC 8</x:v>
      </x:c>
      <x:c r="E104" s="29" t="str">
        <x:v>CGC</x:v>
      </x:c>
      <x:c r="F104" s="30" t="n">
        <x:v>131</x:v>
      </x:c>
      <x:c r="G104" s="30" t="n">
        <x:v>131</x:v>
      </x:c>
      <x:c r="H104" s="29" t="str">
        <x:v>$131</x:v>
      </x:c>
      <x:c r="I104" s="31" t="n">
        <x:f>ROUND(G104*J104,0)</x:f>
        <x:v>4231</x:v>
      </x:c>
      <x:c r="J104" s="32" t="n">
        <x:v>32.3</x:v>
      </x:c>
      <x:c r="K104" s="29" t="str">
        <x:v>Buy Now</x:v>
      </x:c>
      <x:c r="L104" s="29" t="str">
        <x:v>Fanatics</x:v>
      </x:c>
      <x:c r="M104" s="33" t="str">
        <x:v>https://www.fanaticscollect.com/fixed/c2fb88ac-570e-11f0-b6e9-02abc3c0335b</x:v>
      </x:c>
    </x:row>
    <x:row r="105">
      <x:c r="A105" s="28" t="n">
        <x:v>45837</x:v>
      </x:c>
      <x:c r="B105" s="29" t="str">
        <x:v>Blastoise</x:v>
      </x:c>
      <x:c r="C105" s="29" t="str">
        <x:v>水箭龜</x:v>
      </x:c>
      <x:c r="D105" s="29" t="str">
        <x:v>CGC 8</x:v>
      </x:c>
      <x:c r="E105" s="29" t="str">
        <x:v>CGC</x:v>
      </x:c>
      <x:c r="F105" s="30" t="n">
        <x:v>456</x:v>
      </x:c>
      <x:c r="G105" s="30" t="n">
        <x:v>456</x:v>
      </x:c>
      <x:c r="H105" s="29" t="str">
        <x:v>$456</x:v>
      </x:c>
      <x:c r="I105" s="31" t="n">
        <x:f>ROUND(G105*J105,0)</x:f>
        <x:v>14729</x:v>
      </x:c>
      <x:c r="J105" s="32" t="n">
        <x:v>32.3</x:v>
      </x:c>
      <x:c r="K105" s="29" t="str">
        <x:v>Auction</x:v>
      </x:c>
      <x:c r="L105" s="29" t="str">
        <x:v>Fanatics</x:v>
      </x:c>
      <x:c r="M105" s="33" t="str">
        <x:v>https://www.fanaticscollect.com/weekly/fafd4f1a-4fde-11f0-bf13-02cc51b85235</x:v>
      </x:c>
    </x:row>
    <x:row r="106">
      <x:c r="A106" s="28" t="n">
        <x:v>45837</x:v>
      </x:c>
      <x:c r="B106" s="29" t="str">
        <x:v>Chansey</x:v>
      </x:c>
      <x:c r="C106" s="29" t="str">
        <x:v>吉利蛋</x:v>
      </x:c>
      <x:c r="D106" s="29" t="str">
        <x:v>CGC 8</x:v>
      </x:c>
      <x:c r="E106" s="29" t="str">
        <x:v>CGC</x:v>
      </x:c>
      <x:c r="F106" s="30" t="n">
        <x:v>174</x:v>
      </x:c>
      <x:c r="G106" s="30" t="n">
        <x:v>174</x:v>
      </x:c>
      <x:c r="H106" s="29" t="str">
        <x:v>$174</x:v>
      </x:c>
      <x:c r="I106" s="31" t="n">
        <x:f>ROUND(G106*J106,0)</x:f>
        <x:v>5620</x:v>
      </x:c>
      <x:c r="J106" s="32" t="n">
        <x:v>32.3</x:v>
      </x:c>
      <x:c r="K106" s="29" t="str">
        <x:v>Auction</x:v>
      </x:c>
      <x:c r="L106" s="29" t="str">
        <x:v>Fanatics</x:v>
      </x:c>
      <x:c r="M106" s="33" t="str">
        <x:v>https://www.fanaticscollect.com/weekly/fabbdc2e-4fde-11f0-8cde-02cc51b85235</x:v>
      </x:c>
    </x:row>
    <x:row r="107">
      <x:c r="A107" s="28" t="n">
        <x:v>45837</x:v>
      </x:c>
      <x:c r="B107" s="29" t="str">
        <x:v>Gyarados</x:v>
      </x:c>
      <x:c r="C107" s="29" t="str">
        <x:v>暴鯉龍</x:v>
      </x:c>
      <x:c r="D107" s="29" t="str">
        <x:v>CGC 8.5</x:v>
      </x:c>
      <x:c r="E107" s="29" t="str">
        <x:v>CGC</x:v>
      </x:c>
      <x:c r="F107" s="30" t="n">
        <x:v>264</x:v>
      </x:c>
      <x:c r="G107" s="30" t="n">
        <x:v>264</x:v>
      </x:c>
      <x:c r="H107" s="29" t="str">
        <x:v>$264</x:v>
      </x:c>
      <x:c r="I107" s="31" t="n">
        <x:f>ROUND(G107*J107,0)</x:f>
        <x:v>8527</x:v>
      </x:c>
      <x:c r="J107" s="32" t="n">
        <x:v>32.3</x:v>
      </x:c>
      <x:c r="K107" s="29" t="str">
        <x:v>Auction</x:v>
      </x:c>
      <x:c r="L107" s="29" t="str">
        <x:v>Fanatics</x:v>
      </x:c>
      <x:c r="M107" s="33" t="str">
        <x:v>https://www.fanaticscollect.com/weekly/fb63a7d8-4fde-11f0-9d4a-02cc51b85235</x:v>
      </x:c>
    </x:row>
    <x:row r="108">
      <x:c r="A108" s="28" t="n">
        <x:v>45837</x:v>
      </x:c>
      <x:c r="B108" s="29" t="str">
        <x:v>Gyarados</x:v>
      </x:c>
      <x:c r="C108" s="29" t="str">
        <x:v>暴鯉龍</x:v>
      </x:c>
      <x:c r="D108" s="29" t="str">
        <x:v>CGC 8</x:v>
      </x:c>
      <x:c r="E108" s="29" t="str">
        <x:v>CGC</x:v>
      </x:c>
      <x:c r="F108" s="30" t="n">
        <x:v>228</x:v>
      </x:c>
      <x:c r="G108" s="30" t="n">
        <x:v>228</x:v>
      </x:c>
      <x:c r="H108" s="29" t="str">
        <x:v>$228</x:v>
      </x:c>
      <x:c r="I108" s="31" t="n">
        <x:f>ROUND(G108*J108,0)</x:f>
        <x:v>7364</x:v>
      </x:c>
      <x:c r="J108" s="32" t="n">
        <x:v>32.3</x:v>
      </x:c>
      <x:c r="K108" s="29" t="str">
        <x:v>Auction</x:v>
      </x:c>
      <x:c r="L108" s="29" t="str">
        <x:v>Fanatics</x:v>
      </x:c>
      <x:c r="M108" s="33" t="str">
        <x:v>https://www.fanaticscollect.com/weekly/fb6740aa-4fde-11f0-8225-02cc51b85235</x:v>
      </x:c>
    </x:row>
    <x:row r="109">
      <x:c r="A109" s="28" t="n">
        <x:v>45837</x:v>
      </x:c>
      <x:c r="B109" s="29" t="str">
        <x:v>Magneton</x:v>
      </x:c>
      <x:c r="C109" s="29" t="str">
        <x:v>三磁怪</x:v>
      </x:c>
      <x:c r="D109" s="29" t="str">
        <x:v>CGC 8.5</x:v>
      </x:c>
      <x:c r="E109" s="29" t="str">
        <x:v>CGC</x:v>
      </x:c>
      <x:c r="F109" s="30" t="n">
        <x:v>156</x:v>
      </x:c>
      <x:c r="G109" s="30" t="n">
        <x:v>156</x:v>
      </x:c>
      <x:c r="H109" s="29" t="str">
        <x:v>$156</x:v>
      </x:c>
      <x:c r="I109" s="31" t="n">
        <x:f>ROUND(G109*J109,0)</x:f>
        <x:v>5039</x:v>
      </x:c>
      <x:c r="J109" s="32" t="n">
        <x:v>32.3</x:v>
      </x:c>
      <x:c r="K109" s="29" t="str">
        <x:v>Auction</x:v>
      </x:c>
      <x:c r="L109" s="29" t="str">
        <x:v>Fanatics</x:v>
      </x:c>
      <x:c r="M109" s="33" t="str">
        <x:v>https://www.fanaticscollect.com/weekly/fb72056c-4fde-11f0-be12-02cc51b85235</x:v>
      </x:c>
    </x:row>
    <x:row r="110">
      <x:c r="A110" s="28" t="n">
        <x:v>45837</x:v>
      </x:c>
      <x:c r="B110" s="29" t="str">
        <x:v>Mewtwo</x:v>
      </x:c>
      <x:c r="C110" s="29" t="str">
        <x:v>超夢</x:v>
      </x:c>
      <x:c r="D110" s="29" t="str">
        <x:v>CGC 8</x:v>
      </x:c>
      <x:c r="E110" s="29" t="str">
        <x:v>CGC</x:v>
      </x:c>
      <x:c r="F110" s="30" t="n">
        <x:v>228</x:v>
      </x:c>
      <x:c r="G110" s="30" t="n">
        <x:v>228</x:v>
      </x:c>
      <x:c r="H110" s="29" t="str">
        <x:v>$228</x:v>
      </x:c>
      <x:c r="I110" s="31" t="n">
        <x:f>ROUND(G110*J110,0)</x:f>
        <x:v>7364</x:v>
      </x:c>
      <x:c r="J110" s="32" t="n">
        <x:v>32.3</x:v>
      </x:c>
      <x:c r="K110" s="29" t="str">
        <x:v>Auction</x:v>
      </x:c>
      <x:c r="L110" s="29" t="str">
        <x:v>Fanatics</x:v>
      </x:c>
      <x:c r="M110" s="33" t="str">
        <x:v>https://www.fanaticscollect.com/weekly/fb042fc4-4fde-11f0-a814-02cc51b85235</x:v>
      </x:c>
    </x:row>
    <x:row r="111">
      <x:c r="A111" s="28" t="n">
        <x:v>45837</x:v>
      </x:c>
      <x:c r="B111" s="29" t="str">
        <x:v>Mewtwo</x:v>
      </x:c>
      <x:c r="C111" s="29" t="str">
        <x:v>超夢</x:v>
      </x:c>
      <x:c r="D111" s="29" t="str">
        <x:v>CGC 9</x:v>
      </x:c>
      <x:c r="E111" s="29" t="str">
        <x:v>CGC</x:v>
      </x:c>
      <x:c r="F111" s="30" t="n">
        <x:v>360</x:v>
      </x:c>
      <x:c r="G111" s="30" t="n">
        <x:v>360</x:v>
      </x:c>
      <x:c r="H111" s="29" t="str">
        <x:v>$360</x:v>
      </x:c>
      <x:c r="I111" s="31" t="n">
        <x:f>ROUND(G111*J111,0)</x:f>
        <x:v>11628</x:v>
      </x:c>
      <x:c r="J111" s="32" t="n">
        <x:v>32.3</x:v>
      </x:c>
      <x:c r="K111" s="29" t="str">
        <x:v>Auction</x:v>
      </x:c>
      <x:c r="L111" s="29" t="str">
        <x:v>Fanatics</x:v>
      </x:c>
      <x:c r="M111" s="33" t="str">
        <x:v>https://www.fanaticscollect.com/weekly/faef653a-4fde-11f0-a810-02cc51b85235</x:v>
      </x:c>
    </x:row>
    <x:row r="112">
      <x:c r="A112" s="28" t="n">
        <x:v>45837</x:v>
      </x:c>
      <x:c r="B112" s="29" t="str">
        <x:v>Mewtwo</x:v>
      </x:c>
      <x:c r="C112" s="29" t="str">
        <x:v>超夢</x:v>
      </x:c>
      <x:c r="D112" s="29" t="str">
        <x:v>CGC 8.5</x:v>
      </x:c>
      <x:c r="E112" s="29" t="str">
        <x:v>CGC</x:v>
      </x:c>
      <x:c r="F112" s="30" t="n">
        <x:v>264</x:v>
      </x:c>
      <x:c r="G112" s="30" t="n">
        <x:v>264</x:v>
      </x:c>
      <x:c r="H112" s="29" t="str">
        <x:v>$264</x:v>
      </x:c>
      <x:c r="I112" s="31" t="n">
        <x:f>ROUND(G112*J112,0)</x:f>
        <x:v>8527</x:v>
      </x:c>
      <x:c r="J112" s="32" t="n">
        <x:v>32.3</x:v>
      </x:c>
      <x:c r="K112" s="29" t="str">
        <x:v>Auction</x:v>
      </x:c>
      <x:c r="L112" s="29" t="str">
        <x:v>Fanatics</x:v>
      </x:c>
      <x:c r="M112" s="33" t="str">
        <x:v>https://www.fanaticscollect.com/weekly/fb00c44c-4fde-11f0-b79b-02cc51b85235</x:v>
      </x:c>
    </x:row>
    <x:row r="113">
      <x:c r="A113" s="28" t="n">
        <x:v>45837</x:v>
      </x:c>
      <x:c r="B113" s="29" t="str">
        <x:v>Nidoking</x:v>
      </x:c>
      <x:c r="C113" s="29" t="str">
        <x:v>尼多王</x:v>
      </x:c>
      <x:c r="D113" s="29" t="str">
        <x:v>CGC 9</x:v>
      </x:c>
      <x:c r="E113" s="29" t="str">
        <x:v>CGC</x:v>
      </x:c>
      <x:c r="F113" s="30" t="n">
        <x:v>180</x:v>
      </x:c>
      <x:c r="G113" s="30" t="n">
        <x:v>180</x:v>
      </x:c>
      <x:c r="H113" s="29" t="str">
        <x:v>$180</x:v>
      </x:c>
      <x:c r="I113" s="31" t="n">
        <x:f>ROUND(G113*J113,0)</x:f>
        <x:v>5814</x:v>
      </x:c>
      <x:c r="J113" s="32" t="n">
        <x:v>32.3</x:v>
      </x:c>
      <x:c r="K113" s="29" t="str">
        <x:v>Auction</x:v>
      </x:c>
      <x:c r="L113" s="29" t="str">
        <x:v>Fanatics</x:v>
      </x:c>
      <x:c r="M113" s="33" t="str">
        <x:v>https://www.fanaticscollect.com/weekly/fa68a39c-4fde-11f0-b447-02cc51b85235</x:v>
      </x:c>
    </x:row>
    <x:row r="114">
      <x:c r="A114" s="28" t="n">
        <x:v>45837</x:v>
      </x:c>
      <x:c r="B114" s="29" t="str">
        <x:v>Ninetales</x:v>
      </x:c>
      <x:c r="C114" s="29" t="str">
        <x:v>九尾</x:v>
      </x:c>
      <x:c r="D114" s="29" t="str">
        <x:v>CGC 8.5</x:v>
      </x:c>
      <x:c r="E114" s="29" t="str">
        <x:v>CGC</x:v>
      </x:c>
      <x:c r="F114" s="30" t="n">
        <x:v>103.2</x:v>
      </x:c>
      <x:c r="G114" s="30" t="n">
        <x:v>103.2</x:v>
      </x:c>
      <x:c r="H114" s="29" t="str">
        <x:v>$103.20</x:v>
      </x:c>
      <x:c r="I114" s="31" t="n">
        <x:f>ROUND(G114*J114,0)</x:f>
        <x:v>3333</x:v>
      </x:c>
      <x:c r="J114" s="32" t="n">
        <x:v>32.3</x:v>
      </x:c>
      <x:c r="K114" s="29" t="str">
        <x:v>Auction</x:v>
      </x:c>
      <x:c r="L114" s="29" t="str">
        <x:v>Fanatics</x:v>
      </x:c>
      <x:c r="M114" s="33" t="str">
        <x:v>https://www.fanaticscollect.com/weekly/fadac5bc-4fde-11f0-a8f6-02cc51b85235</x:v>
      </x:c>
    </x:row>
    <x:row r="115">
      <x:c r="A115" s="28" t="n">
        <x:v>45837</x:v>
      </x:c>
      <x:c r="B115" s="29" t="str">
        <x:v>Poliwrath</x:v>
      </x:c>
      <x:c r="C115" s="29" t="str">
        <x:v>蚊香士</x:v>
      </x:c>
      <x:c r="D115" s="29" t="str">
        <x:v>CGC 8.5</x:v>
      </x:c>
      <x:c r="E115" s="29" t="str">
        <x:v>CGC</x:v>
      </x:c>
      <x:c r="F115" s="30" t="n">
        <x:v>120</x:v>
      </x:c>
      <x:c r="G115" s="30" t="n">
        <x:v>120</x:v>
      </x:c>
      <x:c r="H115" s="29" t="str">
        <x:v>$120</x:v>
      </x:c>
      <x:c r="I115" s="31" t="n">
        <x:f>ROUND(G115*J115,0)</x:f>
        <x:v>3876</x:v>
      </x:c>
      <x:c r="J115" s="32" t="n">
        <x:v>32.3</x:v>
      </x:c>
      <x:c r="K115" s="29" t="str">
        <x:v>Auction</x:v>
      </x:c>
      <x:c r="L115" s="29" t="str">
        <x:v>Fanatics</x:v>
      </x:c>
      <x:c r="M115" s="33" t="str">
        <x:v>https://www.fanaticscollect.com/weekly/fad74090-4fde-11f0-92c5-02cc51b85235</x:v>
      </x:c>
    </x:row>
    <x:row r="116">
      <x:c r="A116" s="28" t="n">
        <x:v>45837</x:v>
      </x:c>
      <x:c r="B116" s="29" t="str">
        <x:v>Poliwrath</x:v>
      </x:c>
      <x:c r="C116" s="29" t="str">
        <x:v>蚊香士</x:v>
      </x:c>
      <x:c r="D116" s="29" t="str">
        <x:v>CGC 8.5</x:v>
      </x:c>
      <x:c r="E116" s="29" t="str">
        <x:v>CGC</x:v>
      </x:c>
      <x:c r="F116" s="30" t="n">
        <x:v>88.8</x:v>
      </x:c>
      <x:c r="G116" s="30" t="n">
        <x:v>88.8</x:v>
      </x:c>
      <x:c r="H116" s="29" t="str">
        <x:v>$88.80</x:v>
      </x:c>
      <x:c r="I116" s="31" t="n">
        <x:f>ROUND(G116*J116,0)</x:f>
        <x:v>2868</x:v>
      </x:c>
      <x:c r="J116" s="32" t="n">
        <x:v>32.3</x:v>
      </x:c>
      <x:c r="K116" s="29" t="str">
        <x:v>Auction</x:v>
      </x:c>
      <x:c r="L116" s="29" t="str">
        <x:v>Fanatics</x:v>
      </x:c>
      <x:c r="M116" s="33" t="str">
        <x:v>https://www.fanaticscollect.com/weekly/fa653b44-4fde-11f0-9559-02cc51b85235</x:v>
      </x:c>
    </x:row>
    <x:row r="117">
      <x:c r="A117" s="28" t="n">
        <x:v>45837</x:v>
      </x:c>
      <x:c r="B117" s="29" t="str">
        <x:v>Raichu</x:v>
      </x:c>
      <x:c r="C117" s="29" t="str">
        <x:v>雷丘</x:v>
      </x:c>
      <x:c r="D117" s="29" t="str">
        <x:v>CGC 8</x:v>
      </x:c>
      <x:c r="E117" s="29" t="str">
        <x:v>CGC</x:v>
      </x:c>
      <x:c r="F117" s="30" t="n">
        <x:v>144</x:v>
      </x:c>
      <x:c r="G117" s="30" t="n">
        <x:v>144</x:v>
      </x:c>
      <x:c r="H117" s="29" t="str">
        <x:v>$144</x:v>
      </x:c>
      <x:c r="I117" s="31" t="n">
        <x:f>ROUND(G117*J117,0)</x:f>
        <x:v>4651</x:v>
      </x:c>
      <x:c r="J117" s="32" t="n">
        <x:v>32.3</x:v>
      </x:c>
      <x:c r="K117" s="29" t="str">
        <x:v>Auction</x:v>
      </x:c>
      <x:c r="L117" s="29" t="str">
        <x:v>Fanatics</x:v>
      </x:c>
      <x:c r="M117" s="33" t="str">
        <x:v>https://www.fanaticscollect.com/weekly/faebedec-4fde-11f0-8245-02cc51b85235</x:v>
      </x:c>
    </x:row>
    <x:row r="118">
      <x:c r="A118" s="28" t="n">
        <x:v>45837</x:v>
      </x:c>
      <x:c r="B118" s="29" t="str">
        <x:v>Raichu</x:v>
      </x:c>
      <x:c r="C118" s="29" t="str">
        <x:v>雷丘</x:v>
      </x:c>
      <x:c r="D118" s="29" t="str">
        <x:v>CGC 9</x:v>
      </x:c>
      <x:c r="E118" s="29" t="str">
        <x:v>CGC</x:v>
      </x:c>
      <x:c r="F118" s="30" t="n">
        <x:v>360</x:v>
      </x:c>
      <x:c r="G118" s="30" t="n">
        <x:v>360</x:v>
      </x:c>
      <x:c r="H118" s="29" t="str">
        <x:v>$360</x:v>
      </x:c>
      <x:c r="I118" s="31" t="n">
        <x:f>ROUND(G118*J118,0)</x:f>
        <x:v>11628</x:v>
      </x:c>
      <x:c r="J118" s="32" t="n">
        <x:v>32.3</x:v>
      </x:c>
      <x:c r="K118" s="29" t="str">
        <x:v>Auction</x:v>
      </x:c>
      <x:c r="L118" s="29" t="str">
        <x:v>Fanatics</x:v>
      </x:c>
      <x:c r="M118" s="33" t="str">
        <x:v>https://www.fanaticscollect.com/weekly/fabf9ac6-4fde-11f0-bcc5-02cc51b85235</x:v>
      </x:c>
    </x:row>
    <x:row r="119">
      <x:c r="A119" s="28" t="n">
        <x:v>45837</x:v>
      </x:c>
      <x:c r="B119" s="29" t="str">
        <x:v>Venusaur</x:v>
      </x:c>
      <x:c r="C119" s="29" t="str">
        <x:v>妙蛙花</x:v>
      </x:c>
      <x:c r="D119" s="29" t="str">
        <x:v>CGC 8.5</x:v>
      </x:c>
      <x:c r="E119" s="29" t="str">
        <x:v>CGC</x:v>
      </x:c>
      <x:c r="F119" s="30" t="n">
        <x:v>360</x:v>
      </x:c>
      <x:c r="G119" s="30" t="n">
        <x:v>360</x:v>
      </x:c>
      <x:c r="H119" s="29" t="str">
        <x:v>$360</x:v>
      </x:c>
      <x:c r="I119" s="31" t="n">
        <x:f>ROUND(G119*J119,0)</x:f>
        <x:v>11628</x:v>
      </x:c>
      <x:c r="J119" s="32" t="n">
        <x:v>32.3</x:v>
      </x:c>
      <x:c r="K119" s="29" t="str">
        <x:v>Auction</x:v>
      </x:c>
      <x:c r="L119" s="29" t="str">
        <x:v>Fanatics</x:v>
      </x:c>
      <x:c r="M119" s="33" t="str">
        <x:v>https://www.fanaticscollect.com/weekly/faf9f4c8-4fde-11f0-817c-02cc51b85235</x:v>
      </x:c>
    </x:row>
    <x:row r="120">
      <x:c r="A120" s="28" t="n">
        <x:v>45837</x:v>
      </x:c>
      <x:c r="B120" s="29" t="str">
        <x:v>Venusaur</x:v>
      </x:c>
      <x:c r="C120" s="29" t="str">
        <x:v>妙蛙花</x:v>
      </x:c>
      <x:c r="D120" s="29" t="str">
        <x:v>CGC 8</x:v>
      </x:c>
      <x:c r="E120" s="29" t="str">
        <x:v>CGC</x:v>
      </x:c>
      <x:c r="F120" s="30" t="n">
        <x:v>360</x:v>
      </x:c>
      <x:c r="G120" s="30" t="n">
        <x:v>360</x:v>
      </x:c>
      <x:c r="H120" s="29" t="str">
        <x:v>$360</x:v>
      </x:c>
      <x:c r="I120" s="31" t="n">
        <x:f>ROUND(G120*J120,0)</x:f>
        <x:v>11628</x:v>
      </x:c>
      <x:c r="J120" s="32" t="n">
        <x:v>32.3</x:v>
      </x:c>
      <x:c r="K120" s="29" t="str">
        <x:v>Auction</x:v>
      </x:c>
      <x:c r="L120" s="29" t="str">
        <x:v>Fanatics</x:v>
      </x:c>
      <x:c r="M120" s="33" t="str">
        <x:v>https://www.fanaticscollect.com/weekly/faf67b0e-4fde-11f0-85ae-02cc51b85235</x:v>
      </x:c>
    </x:row>
    <x:row r="121">
      <x:c r="A121" s="28" t="n">
        <x:v>45837</x:v>
      </x:c>
      <x:c r="B121" s="29" t="str">
        <x:v>Zapdos</x:v>
      </x:c>
      <x:c r="C121" s="29" t="str">
        <x:v>閃電鳥</x:v>
      </x:c>
      <x:c r="D121" s="29" t="str">
        <x:v>CGC 8</x:v>
      </x:c>
      <x:c r="E121" s="29" t="str">
        <x:v>CGC</x:v>
      </x:c>
      <x:c r="F121" s="30" t="n">
        <x:v>110.4</x:v>
      </x:c>
      <x:c r="G121" s="30" t="n">
        <x:v>110.4</x:v>
      </x:c>
      <x:c r="H121" s="29" t="str">
        <x:v>$110.40</x:v>
      </x:c>
      <x:c r="I121" s="31" t="n">
        <x:f>ROUND(G121*J121,0)</x:f>
        <x:v>3566</x:v>
      </x:c>
      <x:c r="J121" s="32" t="n">
        <x:v>32.3</x:v>
      </x:c>
      <x:c r="K121" s="29" t="str">
        <x:v>Auction</x:v>
      </x:c>
      <x:c r="L121" s="29" t="str">
        <x:v>Fanatics</x:v>
      </x:c>
      <x:c r="M121" s="33" t="str">
        <x:v>https://www.fanaticscollect.com/weekly/fb6aed36-4fde-11f0-9da8-02cc51b85235</x:v>
      </x:c>
    </x:row>
    <x:row r="122">
      <x:c r="A122" s="28" t="n">
        <x:v>45837</x:v>
      </x:c>
      <x:c r="B122" s="29" t="str">
        <x:v>Zapdos</x:v>
      </x:c>
      <x:c r="C122" s="29" t="str">
        <x:v>閃電鳥</x:v>
      </x:c>
      <x:c r="D122" s="29" t="str">
        <x:v>CGC 8</x:v>
      </x:c>
      <x:c r="E122" s="29" t="str">
        <x:v>CGC</x:v>
      </x:c>
      <x:c r="F122" s="30" t="n">
        <x:v>115.2</x:v>
      </x:c>
      <x:c r="G122" s="30" t="n">
        <x:v>115.2</x:v>
      </x:c>
      <x:c r="H122" s="29" t="str">
        <x:v>$115.20</x:v>
      </x:c>
      <x:c r="I122" s="31" t="n">
        <x:f>ROUND(G122*J122,0)</x:f>
        <x:v>3721</x:v>
      </x:c>
      <x:c r="J122" s="32" t="n">
        <x:v>32.3</x:v>
      </x:c>
      <x:c r="K122" s="29" t="str">
        <x:v>Auction</x:v>
      </x:c>
      <x:c r="L122" s="29" t="str">
        <x:v>Fanatics</x:v>
      </x:c>
      <x:c r="M122" s="33" t="str">
        <x:v>https://www.fanaticscollect.com/weekly/fb6e80b8-4fde-11f0-aba4-02cc51b85235</x:v>
      </x:c>
    </x:row>
    <x:row r="123">
      <x:c r="A123" s="28" t="n">
        <x:v>45830</x:v>
      </x:c>
      <x:c r="B123" s="29" t="str">
        <x:v>Alakazam</x:v>
      </x:c>
      <x:c r="C123" s="29" t="str">
        <x:v>胡地</x:v>
      </x:c>
      <x:c r="D123" s="29" t="str">
        <x:v>CGC 8.5</x:v>
      </x:c>
      <x:c r="E123" s="29" t="str">
        <x:v>CGC</x:v>
      </x:c>
      <x:c r="F123" s="30" t="n">
        <x:v>264</x:v>
      </x:c>
      <x:c r="G123" s="30" t="n">
        <x:v>264</x:v>
      </x:c>
      <x:c r="H123" s="29" t="str">
        <x:v>$264</x:v>
      </x:c>
      <x:c r="I123" s="31" t="n">
        <x:f>ROUND(G123*J123,0)</x:f>
        <x:v>8527</x:v>
      </x:c>
      <x:c r="J123" s="32" t="n">
        <x:v>32.3</x:v>
      </x:c>
      <x:c r="K123" s="29" t="str">
        <x:v>Auction</x:v>
      </x:c>
      <x:c r="L123" s="29" t="str">
        <x:v>Fanatics</x:v>
      </x:c>
      <x:c r="M123" s="33" t="str">
        <x:v>https://www.fanaticscollect.com/weekly/bdf2cbaa-4c95-11f0-95ec-0a58a9feac02</x:v>
      </x:c>
    </x:row>
    <x:row r="124">
      <x:c r="A124" s="28" t="n">
        <x:v>45830</x:v>
      </x:c>
      <x:c r="B124" s="29" t="str">
        <x:v>Alakazam</x:v>
      </x:c>
      <x:c r="C124" s="29" t="str">
        <x:v>胡地</x:v>
      </x:c>
      <x:c r="D124" s="29" t="str">
        <x:v>CGC 8.5</x:v>
      </x:c>
      <x:c r="E124" s="29" t="str">
        <x:v>CGC</x:v>
      </x:c>
      <x:c r="F124" s="30" t="n">
        <x:v>252</x:v>
      </x:c>
      <x:c r="G124" s="30" t="n">
        <x:v>252</x:v>
      </x:c>
      <x:c r="H124" s="29" t="str">
        <x:v>$252</x:v>
      </x:c>
      <x:c r="I124" s="31" t="n">
        <x:f>ROUND(G124*J124,0)</x:f>
        <x:v>8140</x:v>
      </x:c>
      <x:c r="J124" s="32" t="n">
        <x:v>32.3</x:v>
      </x:c>
      <x:c r="K124" s="29" t="str">
        <x:v>Auction</x:v>
      </x:c>
      <x:c r="L124" s="29" t="str">
        <x:v>Fanatics</x:v>
      </x:c>
      <x:c r="M124" s="33" t="str">
        <x:v>https://www.fanaticscollect.com/weekly/bd620a5c-4c95-11f0-944a-0a58a9feac02</x:v>
      </x:c>
    </x:row>
    <x:row r="125">
      <x:c r="A125" s="28" t="n">
        <x:v>45830</x:v>
      </x:c>
      <x:c r="B125" s="29" t="str">
        <x:v>Blastoise</x:v>
      </x:c>
      <x:c r="C125" s="29" t="str">
        <x:v>水箭龜</x:v>
      </x:c>
      <x:c r="D125" s="29" t="str">
        <x:v>CGC 8</x:v>
      </x:c>
      <x:c r="E125" s="29" t="str">
        <x:v>CGC</x:v>
      </x:c>
      <x:c r="F125" s="30" t="n">
        <x:v>372</x:v>
      </x:c>
      <x:c r="G125" s="30" t="n">
        <x:v>372</x:v>
      </x:c>
      <x:c r="H125" s="29" t="str">
        <x:v>$372</x:v>
      </x:c>
      <x:c r="I125" s="31" t="n">
        <x:f>ROUND(G125*J125,0)</x:f>
        <x:v>12016</x:v>
      </x:c>
      <x:c r="J125" s="32" t="n">
        <x:v>32.3</x:v>
      </x:c>
      <x:c r="K125" s="29" t="str">
        <x:v>Auction</x:v>
      </x:c>
      <x:c r="L125" s="29" t="str">
        <x:v>Fanatics</x:v>
      </x:c>
      <x:c r="M125" s="33" t="str">
        <x:v>https://www.fanaticscollect.com/weekly/bda5f2e4-4c95-11f0-a6dc-0a58a9feac02</x:v>
      </x:c>
    </x:row>
    <x:row r="126">
      <x:c r="A126" s="28" t="n">
        <x:v>45830</x:v>
      </x:c>
      <x:c r="B126" s="29" t="str">
        <x:v>Blastoise</x:v>
      </x:c>
      <x:c r="C126" s="29" t="str">
        <x:v>水箭龜</x:v>
      </x:c>
      <x:c r="D126" s="29" t="str">
        <x:v>CGC 9</x:v>
      </x:c>
      <x:c r="E126" s="29" t="str">
        <x:v>CGC</x:v>
      </x:c>
      <x:c r="F126" s="30" t="n">
        <x:v>660</x:v>
      </x:c>
      <x:c r="G126" s="30" t="n">
        <x:v>660</x:v>
      </x:c>
      <x:c r="H126" s="29" t="str">
        <x:v>$660</x:v>
      </x:c>
      <x:c r="I126" s="31" t="n">
        <x:f>ROUND(G126*J126,0)</x:f>
        <x:v>21318</x:v>
      </x:c>
      <x:c r="J126" s="32" t="n">
        <x:v>32.3</x:v>
      </x:c>
      <x:c r="K126" s="29" t="str">
        <x:v>Auction</x:v>
      </x:c>
      <x:c r="L126" s="29" t="str">
        <x:v>Fanatics</x:v>
      </x:c>
      <x:c r="M126" s="33" t="str">
        <x:v>https://www.fanaticscollect.com/weekly/93589af6-4c94-11f0-b7af-0249ef7c0063</x:v>
      </x:c>
    </x:row>
    <x:row r="127">
      <x:c r="A127" s="28" t="n">
        <x:v>45830</x:v>
      </x:c>
      <x:c r="B127" s="29" t="str">
        <x:v>Chansey</x:v>
      </x:c>
      <x:c r="C127" s="29" t="str">
        <x:v>吉利蛋</x:v>
      </x:c>
      <x:c r="D127" s="29" t="str">
        <x:v>CGC 8</x:v>
      </x:c>
      <x:c r="E127" s="29" t="str">
        <x:v>CGC</x:v>
      </x:c>
      <x:c r="F127" s="30" t="n">
        <x:v>186</x:v>
      </x:c>
      <x:c r="G127" s="30" t="n">
        <x:v>186</x:v>
      </x:c>
      <x:c r="H127" s="29" t="str">
        <x:v>$186</x:v>
      </x:c>
      <x:c r="I127" s="31" t="n">
        <x:f>ROUND(G127*J127,0)</x:f>
        <x:v>6008</x:v>
      </x:c>
      <x:c r="J127" s="32" t="n">
        <x:v>32.3</x:v>
      </x:c>
      <x:c r="K127" s="29" t="str">
        <x:v>Auction</x:v>
      </x:c>
      <x:c r="L127" s="29" t="str">
        <x:v>Fanatics</x:v>
      </x:c>
      <x:c r="M127" s="33" t="str">
        <x:v>https://www.fanaticscollect.com/weekly/bd5e9dae-4c95-11f0-b57a-0a58a9feac02</x:v>
      </x:c>
    </x:row>
    <x:row r="128">
      <x:c r="A128" s="28" t="n">
        <x:v>45830</x:v>
      </x:c>
      <x:c r="B128" s="29" t="str">
        <x:v>Hitmonchan</x:v>
      </x:c>
      <x:c r="C128" s="29" t="str">
        <x:v>快拳郎</x:v>
      </x:c>
      <x:c r="D128" s="29" t="str">
        <x:v>CGC 8</x:v>
      </x:c>
      <x:c r="E128" s="29" t="str">
        <x:v>CGC</x:v>
      </x:c>
      <x:c r="F128" s="30" t="n">
        <x:v>56.4</x:v>
      </x:c>
      <x:c r="G128" s="30" t="n">
        <x:v>56.4</x:v>
      </x:c>
      <x:c r="H128" s="29" t="str">
        <x:v>$56.40</x:v>
      </x:c>
      <x:c r="I128" s="31" t="n">
        <x:f>ROUND(G128*J128,0)</x:f>
        <x:v>1822</x:v>
      </x:c>
      <x:c r="J128" s="32" t="n">
        <x:v>32.3</x:v>
      </x:c>
      <x:c r="K128" s="29" t="str">
        <x:v>Auction</x:v>
      </x:c>
      <x:c r="L128" s="29" t="str">
        <x:v>Fanatics</x:v>
      </x:c>
      <x:c r="M128" s="33" t="str">
        <x:v>https://www.fanaticscollect.com/weekly/bde8a314-4c95-11f0-8939-0a58a9feac02</x:v>
      </x:c>
    </x:row>
    <x:row r="129">
      <x:c r="A129" s="28" t="n">
        <x:v>45830</x:v>
      </x:c>
      <x:c r="B129" s="29" t="str">
        <x:v>Magneton</x:v>
      </x:c>
      <x:c r="C129" s="29" t="str">
        <x:v>三磁怪</x:v>
      </x:c>
      <x:c r="D129" s="29" t="str">
        <x:v>CGC 8.5</x:v>
      </x:c>
      <x:c r="E129" s="29" t="str">
        <x:v>CGC</x:v>
      </x:c>
      <x:c r="F129" s="30" t="n">
        <x:v>174</x:v>
      </x:c>
      <x:c r="G129" s="30" t="n">
        <x:v>174</x:v>
      </x:c>
      <x:c r="H129" s="29" t="str">
        <x:v>$174</x:v>
      </x:c>
      <x:c r="I129" s="31" t="n">
        <x:f>ROUND(G129*J129,0)</x:f>
        <x:v>5620</x:v>
      </x:c>
      <x:c r="J129" s="32" t="n">
        <x:v>32.3</x:v>
      </x:c>
      <x:c r="K129" s="29" t="str">
        <x:v>Auction</x:v>
      </x:c>
      <x:c r="L129" s="29" t="str">
        <x:v>Fanatics</x:v>
      </x:c>
      <x:c r="M129" s="33" t="str">
        <x:v>https://www.fanaticscollect.com/weekly/bdf633b2-4c95-11f0-b004-0a58a9feac02</x:v>
      </x:c>
    </x:row>
    <x:row r="130">
      <x:c r="A130" s="28" t="n">
        <x:v>45830</x:v>
      </x:c>
      <x:c r="B130" s="29" t="str">
        <x:v>Nidoking</x:v>
      </x:c>
      <x:c r="C130" s="29" t="str">
        <x:v>尼多王</x:v>
      </x:c>
      <x:c r="D130" s="29" t="str">
        <x:v>CGC 9</x:v>
      </x:c>
      <x:c r="E130" s="29" t="str">
        <x:v>CGC</x:v>
      </x:c>
      <x:c r="F130" s="30" t="n">
        <x:v>210</x:v>
      </x:c>
      <x:c r="G130" s="30" t="n">
        <x:v>210</x:v>
      </x:c>
      <x:c r="H130" s="29" t="str">
        <x:v>$210</x:v>
      </x:c>
      <x:c r="I130" s="31" t="n">
        <x:f>ROUND(G130*J130,0)</x:f>
        <x:v>6783</x:v>
      </x:c>
      <x:c r="J130" s="32" t="n">
        <x:v>32.3</x:v>
      </x:c>
      <x:c r="K130" s="29" t="str">
        <x:v>Auction</x:v>
      </x:c>
      <x:c r="L130" s="29" t="str">
        <x:v>Fanatics</x:v>
      </x:c>
      <x:c r="M130" s="33" t="str">
        <x:v>https://www.fanaticscollect.com/weekly/bd3adbc6-4c95-11f0-b4a3-0a58a9feac02</x:v>
      </x:c>
    </x:row>
    <x:row r="131">
      <x:c r="A131" s="28" t="n">
        <x:v>45830</x:v>
      </x:c>
      <x:c r="B131" s="29" t="str">
        <x:v>Nidoking</x:v>
      </x:c>
      <x:c r="C131" s="29" t="str">
        <x:v>尼多王</x:v>
      </x:c>
      <x:c r="D131" s="29" t="str">
        <x:v>CGC 7.5</x:v>
      </x:c>
      <x:c r="E131" s="29" t="str">
        <x:v>CGC</x:v>
      </x:c>
      <x:c r="F131" s="30" t="n">
        <x:v>67.2</x:v>
      </x:c>
      <x:c r="G131" s="30" t="n">
        <x:v>67.2</x:v>
      </x:c>
      <x:c r="H131" s="29" t="str">
        <x:v>$67.20</x:v>
      </x:c>
      <x:c r="I131" s="31" t="n">
        <x:f>ROUND(G131*J131,0)</x:f>
        <x:v>2171</x:v>
      </x:c>
      <x:c r="J131" s="32" t="n">
        <x:v>32.3</x:v>
      </x:c>
      <x:c r="K131" s="29" t="str">
        <x:v>Auction</x:v>
      </x:c>
      <x:c r="L131" s="29" t="str">
        <x:v>Fanatics</x:v>
      </x:c>
      <x:c r="M131" s="33" t="str">
        <x:v>https://www.fanaticscollect.com/weekly/bd2fd3fc-4c95-11f0-ae3f-0a58a9feac02</x:v>
      </x:c>
    </x:row>
    <x:row r="132">
      <x:c r="A132" s="28" t="n">
        <x:v>45830</x:v>
      </x:c>
      <x:c r="B132" s="29" t="str">
        <x:v>Ninetales</x:v>
      </x:c>
      <x:c r="C132" s="29" t="str">
        <x:v>九尾</x:v>
      </x:c>
      <x:c r="D132" s="29" t="str">
        <x:v>CGC 8.5</x:v>
      </x:c>
      <x:c r="E132" s="29" t="str">
        <x:v>CGC</x:v>
      </x:c>
      <x:c r="F132" s="30" t="n">
        <x:v>117.6</x:v>
      </x:c>
      <x:c r="G132" s="30" t="n">
        <x:v>117.6</x:v>
      </x:c>
      <x:c r="H132" s="29" t="str">
        <x:v>$117.60</x:v>
      </x:c>
      <x:c r="I132" s="31" t="n">
        <x:f>ROUND(G132*J132,0)</x:f>
        <x:v>3798</x:v>
      </x:c>
      <x:c r="J132" s="32" t="n">
        <x:v>32.3</x:v>
      </x:c>
      <x:c r="K132" s="29" t="str">
        <x:v>Auction</x:v>
      </x:c>
      <x:c r="L132" s="29" t="str">
        <x:v>Fanatics</x:v>
      </x:c>
      <x:c r="M132" s="33" t="str">
        <x:v>https://www.fanaticscollect.com/weekly/bd65cde0-4c95-11f0-ba27-0a58a9feac02</x:v>
      </x:c>
    </x:row>
    <x:row r="133">
      <x:c r="A133" s="28" t="n">
        <x:v>45830</x:v>
      </x:c>
      <x:c r="B133" s="29" t="str">
        <x:v>Poliwrath</x:v>
      </x:c>
      <x:c r="C133" s="29" t="str">
        <x:v>蚊香士</x:v>
      </x:c>
      <x:c r="D133" s="29" t="str">
        <x:v>CGC 8.5</x:v>
      </x:c>
      <x:c r="E133" s="29" t="str">
        <x:v>CGC</x:v>
      </x:c>
      <x:c r="F133" s="30" t="n">
        <x:v>120</x:v>
      </x:c>
      <x:c r="G133" s="30" t="n">
        <x:v>120</x:v>
      </x:c>
      <x:c r="H133" s="29" t="str">
        <x:v>$120</x:v>
      </x:c>
      <x:c r="I133" s="31" t="n">
        <x:f>ROUND(G133*J133,0)</x:f>
        <x:v>3876</x:v>
      </x:c>
      <x:c r="J133" s="32" t="n">
        <x:v>32.3</x:v>
      </x:c>
      <x:c r="K133" s="29" t="str">
        <x:v>Auction</x:v>
      </x:c>
      <x:c r="L133" s="29" t="str">
        <x:v>Fanatics</x:v>
      </x:c>
      <x:c r="M133" s="33" t="str">
        <x:v>https://www.fanaticscollect.com/weekly/bdf99660-4c95-11f0-86c6-0a58a9feac02</x:v>
      </x:c>
    </x:row>
    <x:row r="134">
      <x:c r="A134" s="28" t="n">
        <x:v>45830</x:v>
      </x:c>
      <x:c r="B134" s="29" t="str">
        <x:v>Poliwrath</x:v>
      </x:c>
      <x:c r="C134" s="29" t="str">
        <x:v>蚊香士</x:v>
      </x:c>
      <x:c r="D134" s="29" t="str">
        <x:v>CGC 8</x:v>
      </x:c>
      <x:c r="E134" s="29" t="str">
        <x:v>CGC</x:v>
      </x:c>
      <x:c r="F134" s="30" t="n">
        <x:v>103.2</x:v>
      </x:c>
      <x:c r="G134" s="30" t="n">
        <x:v>103.2</x:v>
      </x:c>
      <x:c r="H134" s="29" t="str">
        <x:v>$103.20</x:v>
      </x:c>
      <x:c r="I134" s="31" t="n">
        <x:f>ROUND(G134*J134,0)</x:f>
        <x:v>3333</x:v>
      </x:c>
      <x:c r="J134" s="32" t="n">
        <x:v>32.3</x:v>
      </x:c>
      <x:c r="K134" s="29" t="str">
        <x:v>Auction</x:v>
      </x:c>
      <x:c r="L134" s="29" t="str">
        <x:v>Fanatics</x:v>
      </x:c>
      <x:c r="M134" s="33" t="str">
        <x:v>https://www.fanaticscollect.com/weekly/bd371522-4c95-11f0-a8f0-0a58a9feac02</x:v>
      </x:c>
    </x:row>
    <x:row r="135">
      <x:c r="A135" s="28" t="n">
        <x:v>45830</x:v>
      </x:c>
      <x:c r="B135" s="29" t="str">
        <x:v>Raichu</x:v>
      </x:c>
      <x:c r="C135" s="29" t="str">
        <x:v>雷丘</x:v>
      </x:c>
      <x:c r="D135" s="29" t="str">
        <x:v>CGC 8.5</x:v>
      </x:c>
      <x:c r="E135" s="29" t="str">
        <x:v>CGC</x:v>
      </x:c>
      <x:c r="F135" s="30" t="n">
        <x:v>174</x:v>
      </x:c>
      <x:c r="G135" s="30" t="n">
        <x:v>174</x:v>
      </x:c>
      <x:c r="H135" s="29" t="str">
        <x:v>$174</x:v>
      </x:c>
      <x:c r="I135" s="31" t="n">
        <x:f>ROUND(G135*J135,0)</x:f>
        <x:v>5620</x:v>
      </x:c>
      <x:c r="J135" s="32" t="n">
        <x:v>32.3</x:v>
      </x:c>
      <x:c r="K135" s="29" t="str">
        <x:v>Auction</x:v>
      </x:c>
      <x:c r="L135" s="29" t="str">
        <x:v>Fanatics</x:v>
      </x:c>
      <x:c r="M135" s="33" t="str">
        <x:v>https://www.fanaticscollect.com/weekly/bd916932-4c95-11f0-a8e0-0a58a9feac02</x:v>
      </x:c>
    </x:row>
    <x:row r="136">
      <x:c r="A136" s="28" t="n">
        <x:v>45830</x:v>
      </x:c>
      <x:c r="B136" s="29" t="str">
        <x:v>Raichu</x:v>
      </x:c>
      <x:c r="C136" s="29" t="str">
        <x:v>雷丘</x:v>
      </x:c>
      <x:c r="D136" s="29" t="str">
        <x:v>CGC 8</x:v>
      </x:c>
      <x:c r="E136" s="29" t="str">
        <x:v>CGC</x:v>
      </x:c>
      <x:c r="F136" s="30" t="n">
        <x:v>98.4</x:v>
      </x:c>
      <x:c r="G136" s="30" t="n">
        <x:v>98.4</x:v>
      </x:c>
      <x:c r="H136" s="29" t="str">
        <x:v>$98.40</x:v>
      </x:c>
      <x:c r="I136" s="31" t="n">
        <x:f>ROUND(G136*J136,0)</x:f>
        <x:v>3178</x:v>
      </x:c>
      <x:c r="J136" s="32" t="n">
        <x:v>32.3</x:v>
      </x:c>
      <x:c r="K136" s="29" t="str">
        <x:v>Auction</x:v>
      </x:c>
      <x:c r="L136" s="29" t="str">
        <x:v>Fanatics</x:v>
      </x:c>
      <x:c r="M136" s="33" t="str">
        <x:v>https://www.fanaticscollect.com/weekly/bd94d27a-4c95-11f0-957d-0a58a9feac02</x:v>
      </x:c>
    </x:row>
    <x:row r="137">
      <x:c r="A137" s="28" t="n">
        <x:v>45830</x:v>
      </x:c>
      <x:c r="B137" s="29" t="str">
        <x:v>Venusaur</x:v>
      </x:c>
      <x:c r="C137" s="29" t="str">
        <x:v>妙蛙花</x:v>
      </x:c>
      <x:c r="D137" s="29" t="str">
        <x:v>CGC 8.5</x:v>
      </x:c>
      <x:c r="E137" s="29" t="str">
        <x:v>CGC</x:v>
      </x:c>
      <x:c r="F137" s="30" t="n">
        <x:v>336</x:v>
      </x:c>
      <x:c r="G137" s="30" t="n">
        <x:v>336</x:v>
      </x:c>
      <x:c r="H137" s="29" t="str">
        <x:v>$336</x:v>
      </x:c>
      <x:c r="I137" s="31" t="n">
        <x:f>ROUND(G137*J137,0)</x:f>
        <x:v>10853</x:v>
      </x:c>
      <x:c r="J137" s="32" t="n">
        <x:v>32.3</x:v>
      </x:c>
      <x:c r="K137" s="29" t="str">
        <x:v>Auction</x:v>
      </x:c>
      <x:c r="L137" s="29" t="str">
        <x:v>Fanatics</x:v>
      </x:c>
      <x:c r="M137" s="33" t="str">
        <x:v>https://www.fanaticscollect.com/weekly/bda26dc2-4c95-11f0-bdd8-0a58a9feac02</x:v>
      </x:c>
    </x:row>
    <x:row r="138">
      <x:c r="A138" s="28" t="n">
        <x:v>45830</x:v>
      </x:c>
      <x:c r="B138" s="29" t="str">
        <x:v>Zapdos</x:v>
      </x:c>
      <x:c r="C138" s="29" t="str">
        <x:v>閃電鳥</x:v>
      </x:c>
      <x:c r="D138" s="29" t="str">
        <x:v>CGC 9</x:v>
      </x:c>
      <x:c r="E138" s="29" t="str">
        <x:v>CGC</x:v>
      </x:c>
      <x:c r="F138" s="30" t="n">
        <x:v>198</x:v>
      </x:c>
      <x:c r="G138" s="30" t="n">
        <x:v>198</x:v>
      </x:c>
      <x:c r="H138" s="29" t="str">
        <x:v>$198</x:v>
      </x:c>
      <x:c r="I138" s="31" t="n">
        <x:f>ROUND(G138*J138,0)</x:f>
        <x:v>6395</x:v>
      </x:c>
      <x:c r="J138" s="32" t="n">
        <x:v>32.3</x:v>
      </x:c>
      <x:c r="K138" s="29" t="str">
        <x:v>Auction</x:v>
      </x:c>
      <x:c r="L138" s="29" t="str">
        <x:v>Fanatics</x:v>
      </x:c>
      <x:c r="M138" s="33" t="str">
        <x:v>https://www.fanaticscollect.com/weekly/bdec10e4-4c95-11f0-853e-0a58a9feac02</x:v>
      </x:c>
    </x:row>
    <x:row r="139">
      <x:c r="A139" s="28" t="n">
        <x:v>45830</x:v>
      </x:c>
      <x:c r="B139" s="29" t="str">
        <x:v>Zapdos</x:v>
      </x:c>
      <x:c r="C139" s="29" t="str">
        <x:v>閃電鳥</x:v>
      </x:c>
      <x:c r="D139" s="29" t="str">
        <x:v>CGC 8</x:v>
      </x:c>
      <x:c r="E139" s="29" t="str">
        <x:v>CGC</x:v>
      </x:c>
      <x:c r="F139" s="30" t="n">
        <x:v>74.4</x:v>
      </x:c>
      <x:c r="G139" s="30" t="n">
        <x:v>74.4</x:v>
      </x:c>
      <x:c r="H139" s="29" t="str">
        <x:v>$74.40</x:v>
      </x:c>
      <x:c r="I139" s="31" t="n">
        <x:f>ROUND(G139*J139,0)</x:f>
        <x:v>2403</x:v>
      </x:c>
      <x:c r="J139" s="32" t="n">
        <x:v>32.3</x:v>
      </x:c>
      <x:c r="K139" s="29" t="str">
        <x:v>Auction</x:v>
      </x:c>
      <x:c r="L139" s="29" t="str">
        <x:v>Fanatics</x:v>
      </x:c>
      <x:c r="M139" s="33" t="str">
        <x:v>https://www.fanaticscollect.com/weekly/bdef74fa-4c95-11f0-8e33-0a58a9feac02</x:v>
      </x:c>
    </x:row>
    <x:row r="140">
      <x:c r="A140" s="28" t="n">
        <x:v>45802</x:v>
      </x:c>
      <x:c r="B140" s="29" t="str">
        <x:v>Venusaur</x:v>
      </x:c>
      <x:c r="C140" s="29" t="str">
        <x:v>妙蛙花</x:v>
      </x:c>
      <x:c r="D140" s="29" t="str">
        <x:v>PSA 9</x:v>
      </x:c>
      <x:c r="E140" s="29" t="str">
        <x:v>PSA</x:v>
      </x:c>
      <x:c r="F140" s="30" t="n">
        <x:v>876</x:v>
      </x:c>
      <x:c r="G140" s="30" t="n">
        <x:v>876</x:v>
      </x:c>
      <x:c r="H140" s="29" t="str">
        <x:v>$876</x:v>
      </x:c>
      <x:c r="I140" s="31" t="n">
        <x:f>ROUND(G140*J140,0)</x:f>
        <x:v>28295</x:v>
      </x:c>
      <x:c r="J140" s="32" t="n">
        <x:v>32.3</x:v>
      </x:c>
      <x:c r="K140" s="29" t="str">
        <x:v>Buy Now</x:v>
      </x:c>
      <x:c r="L140" s="29" t="str">
        <x:v>Fanatics</x:v>
      </x:c>
      <x:c r="M140" s="33" t="str">
        <x:v>https://www.fanaticscollect.com/fixed/b989a0f6-b0d3-11ef-b89a-0a58a9feac02</x:v>
      </x:c>
    </x:row>
    <x:row r="141">
      <x:c r="A141" s="28" t="n">
        <x:v>45795</x:v>
      </x:c>
      <x:c r="B141" s="29" t="str">
        <x:v>Charmander</x:v>
      </x:c>
      <x:c r="C141" s="29" t="str">
        <x:v>小火龍</x:v>
      </x:c>
      <x:c r="D141" s="29" t="str">
        <x:v>CGC 10</x:v>
      </x:c>
      <x:c r="E141" s="29" t="str">
        <x:v>CGC</x:v>
      </x:c>
      <x:c r="F141" s="30" t="n">
        <x:v>186</x:v>
      </x:c>
      <x:c r="G141" s="30" t="n">
        <x:v>186</x:v>
      </x:c>
      <x:c r="H141" s="29" t="str">
        <x:v>$186</x:v>
      </x:c>
      <x:c r="I141" s="31" t="n">
        <x:f>ROUND(G141*J141,0)</x:f>
        <x:v>6008</x:v>
      </x:c>
      <x:c r="J141" s="32" t="n">
        <x:v>32.3</x:v>
      </x:c>
      <x:c r="K141" s="29" t="str">
        <x:v>Auction</x:v>
      </x:c>
      <x:c r="L141" s="29" t="str">
        <x:v>Fanatics</x:v>
      </x:c>
      <x:c r="M141" s="33" t="str">
        <x:v>https://www.fanaticscollect.com/weekly/243447a6-26f6-11f0-b54d-0a58a9feac02</x:v>
      </x:c>
    </x:row>
    <x:row r="142">
      <x:c r="A142" s="28" t="n">
        <x:v>45795</x:v>
      </x:c>
      <x:c r="B142" s="29" t="str">
        <x:v>Charmander</x:v>
      </x:c>
      <x:c r="C142" s="29" t="str">
        <x:v>小火龍</x:v>
      </x:c>
      <x:c r="D142" s="29" t="str">
        <x:v>PSA 10</x:v>
      </x:c>
      <x:c r="E142" s="29" t="str">
        <x:v>PSA</x:v>
      </x:c>
      <x:c r="F142" s="30" t="n">
        <x:v>690</x:v>
      </x:c>
      <x:c r="G142" s="30" t="n">
        <x:v>690</x:v>
      </x:c>
      <x:c r="H142" s="29" t="str">
        <x:v>$690</x:v>
      </x:c>
      <x:c r="I142" s="31" t="n">
        <x:f>ROUND(G142*J142,0)</x:f>
        <x:v>22287</x:v>
      </x:c>
      <x:c r="J142" s="32" t="n">
        <x:v>32.3</x:v>
      </x:c>
      <x:c r="K142" s="29" t="str">
        <x:v>Auction</x:v>
      </x:c>
      <x:c r="L142" s="29" t="str">
        <x:v>Fanatics</x:v>
      </x:c>
      <x:c r="M142" s="33" t="str">
        <x:v>https://www.fanaticscollect.com/weekly/2436d5a2-26f6-11f0-947b-0a58a9feac02</x:v>
      </x:c>
    </x:row>
    <x:row r="143">
      <x:c r="A143" s="28" t="n">
        <x:v>45788</x:v>
      </x:c>
      <x:c r="B143" s="29" t="str">
        <x:v>Charmander</x:v>
      </x:c>
      <x:c r="C143" s="29" t="str">
        <x:v>小火龍</x:v>
      </x:c>
      <x:c r="D143" s="29" t="str">
        <x:v>PSA 10</x:v>
      </x:c>
      <x:c r="E143" s="29" t="str">
        <x:v>PSA</x:v>
      </x:c>
      <x:c r="F143" s="30" t="n">
        <x:v>630</x:v>
      </x:c>
      <x:c r="G143" s="30" t="n">
        <x:v>630</x:v>
      </x:c>
      <x:c r="H143" s="29" t="str">
        <x:v>$630</x:v>
      </x:c>
      <x:c r="I143" s="31" t="n">
        <x:f>ROUND(G143*J143,0)</x:f>
        <x:v>20349</x:v>
      </x:c>
      <x:c r="J143" s="32" t="n">
        <x:v>32.3</x:v>
      </x:c>
      <x:c r="K143" s="29" t="str">
        <x:v>Auction</x:v>
      </x:c>
      <x:c r="L143" s="29" t="str">
        <x:v>Fanatics</x:v>
      </x:c>
      <x:c r="M143" s="33" t="str">
        <x:v>https://www.fanaticscollect.com/weekly/24374c62-26f6-11f0-9eff-0a58a9feac02</x:v>
      </x:c>
    </x:row>
    <x:row r="144">
      <x:c r="A144" s="28" t="n">
        <x:v>45788</x:v>
      </x:c>
      <x:c r="B144" s="29" t="str">
        <x:v>Charmeleon</x:v>
      </x:c>
      <x:c r="C144" s="29" t="str">
        <x:v>火恐龍</x:v>
      </x:c>
      <x:c r="D144" s="29" t="str">
        <x:v>PSA 10</x:v>
      </x:c>
      <x:c r="E144" s="29" t="str">
        <x:v>PSA</x:v>
      </x:c>
      <x:c r="F144" s="30" t="n">
        <x:v>210</x:v>
      </x:c>
      <x:c r="G144" s="30" t="n">
        <x:v>210</x:v>
      </x:c>
      <x:c r="H144" s="29" t="str">
        <x:v>$210</x:v>
      </x:c>
      <x:c r="I144" s="31" t="n">
        <x:f>ROUND(G144*J144,0)</x:f>
        <x:v>6783</x:v>
      </x:c>
      <x:c r="J144" s="32" t="n">
        <x:v>32.3</x:v>
      </x:c>
      <x:c r="K144" s="29" t="str">
        <x:v>Auction</x:v>
      </x:c>
      <x:c r="L144" s="29" t="str">
        <x:v>Fanatics</x:v>
      </x:c>
      <x:c r="M144" s="33" t="str">
        <x:v>https://www.fanaticscollect.com/weekly/2434e198-26f6-11f0-aa98-0a58a9feac02</x:v>
      </x:c>
    </x:row>
    <x:row r="145">
      <x:c r="A145" s="28" t="n">
        <x:v>45788</x:v>
      </x:c>
      <x:c r="B145" s="29" t="str">
        <x:v>Squirtle</x:v>
      </x:c>
      <x:c r="C145" s="29" t="str">
        <x:v>傑尼龜</x:v>
      </x:c>
      <x:c r="D145" s="29" t="str">
        <x:v>PSA 10</x:v>
      </x:c>
      <x:c r="E145" s="29" t="str">
        <x:v>PSA</x:v>
      </x:c>
      <x:c r="F145" s="30" t="n">
        <x:v>288</x:v>
      </x:c>
      <x:c r="G145" s="30" t="n">
        <x:v>288</x:v>
      </x:c>
      <x:c r="H145" s="29" t="str">
        <x:v>$288</x:v>
      </x:c>
      <x:c r="I145" s="31" t="n">
        <x:f>ROUND(G145*J145,0)</x:f>
        <x:v>9302</x:v>
      </x:c>
      <x:c r="J145" s="32" t="n">
        <x:v>32.3</x:v>
      </x:c>
      <x:c r="K145" s="29" t="str">
        <x:v>Auction</x:v>
      </x:c>
      <x:c r="L145" s="29" t="str">
        <x:v>Fanatics</x:v>
      </x:c>
      <x:c r="M145" s="33" t="str">
        <x:v>https://www.fanaticscollect.com/weekly/2437d4ca-26f6-11f0-8d31-0a58a9feac02</x:v>
      </x:c>
    </x:row>
    <x:row r="146">
      <x:c r="A146" s="28" t="n">
        <x:v>45788</x:v>
      </x:c>
      <x:c r="B146" s="29" t="str">
        <x:v>Wartortle</x:v>
      </x:c>
      <x:c r="C146" s="29" t="str">
        <x:v>卡咪龜</x:v>
      </x:c>
      <x:c r="D146" s="29" t="str">
        <x:v>PSA 10</x:v>
      </x:c>
      <x:c r="E146" s="29" t="str">
        <x:v>PSA</x:v>
      </x:c>
      <x:c r="F146" s="30" t="n">
        <x:v>174</x:v>
      </x:c>
      <x:c r="G146" s="30" t="n">
        <x:v>174</x:v>
      </x:c>
      <x:c r="H146" s="29" t="str">
        <x:v>$174</x:v>
      </x:c>
      <x:c r="I146" s="31" t="n">
        <x:f>ROUND(G146*J146,0)</x:f>
        <x:v>5620</x:v>
      </x:c>
      <x:c r="J146" s="32" t="n">
        <x:v>32.3</x:v>
      </x:c>
      <x:c r="K146" s="29" t="str">
        <x:v>Auction</x:v>
      </x:c>
      <x:c r="L146" s="29" t="str">
        <x:v>Fanatics</x:v>
      </x:c>
      <x:c r="M146" s="33" t="str">
        <x:v>https://www.fanaticscollect.com/weekly/24365f32-26f6-11f0-ba0c-0a58a9feac02</x:v>
      </x:c>
    </x:row>
    <x:row r="147">
      <x:c r="A147" s="28" t="n">
        <x:v>45788</x:v>
      </x:c>
      <x:c r="B147" s="29" t="str">
        <x:v>Wartortle</x:v>
      </x:c>
      <x:c r="C147" s="29" t="str">
        <x:v>卡咪龜</x:v>
      </x:c>
      <x:c r="D147" s="29" t="str">
        <x:v>PSA 10</x:v>
      </x:c>
      <x:c r="E147" s="29" t="str">
        <x:v>PSA</x:v>
      </x:c>
      <x:c r="F147" s="30" t="n">
        <x:v>168</x:v>
      </x:c>
      <x:c r="G147" s="30" t="n">
        <x:v>168</x:v>
      </x:c>
      <x:c r="H147" s="29" t="str">
        <x:v>$168</x:v>
      </x:c>
      <x:c r="I147" s="31" t="n">
        <x:f>ROUND(G147*J147,0)</x:f>
        <x:v>5426</x:v>
      </x:c>
      <x:c r="J147" s="32" t="n">
        <x:v>32.3</x:v>
      </x:c>
      <x:c r="K147" s="29" t="str">
        <x:v>Auction</x:v>
      </x:c>
      <x:c r="L147" s="29" t="str">
        <x:v>Fanatics</x:v>
      </x:c>
      <x:c r="M147" s="33" t="str">
        <x:v>https://www.fanaticscollect.com/weekly/243858aa-26f6-11f0-91cd-0a58a9feac02</x:v>
      </x:c>
    </x:row>
    <x:row r="148">
      <x:c r="A148" s="28" t="n">
        <x:v>45606</x:v>
      </x:c>
      <x:c r="B148" s="29" t="str">
        <x:v>Venusaur</x:v>
      </x:c>
      <x:c r="C148" s="29" t="str">
        <x:v>妙蛙花</x:v>
      </x:c>
      <x:c r="D148" s="29" t="str">
        <x:v>PSA 9</x:v>
      </x:c>
      <x:c r="E148" s="29" t="str">
        <x:v>PSA</x:v>
      </x:c>
      <x:c r="F148" s="30" t="n">
        <x:v>516</x:v>
      </x:c>
      <x:c r="G148" s="30" t="n">
        <x:v>516</x:v>
      </x:c>
      <x:c r="H148" s="29" t="str">
        <x:v>$516</x:v>
      </x:c>
      <x:c r="I148" s="31" t="n">
        <x:f>ROUND(G148*J148,0)</x:f>
        <x:v>16667</x:v>
      </x:c>
      <x:c r="J148" s="32" t="n">
        <x:v>32.3</x:v>
      </x:c>
      <x:c r="K148" s="29" t="str">
        <x:v>Auction</x:v>
      </x:c>
      <x:c r="L148" s="29" t="str">
        <x:v>Fanatics</x:v>
      </x:c>
      <x:c r="M148" s="33" t="str">
        <x:v>https://www.fanaticscollect.com/weekly/5c67dca2-9af9-11ef-87f7-0a95b44cb5f1</x:v>
      </x:c>
    </x:row>
    <x:row r="149">
      <x:c r="A149" s="28" t="n">
        <x:v>45599</x:v>
      </x:c>
      <x:c r="B149" s="29" t="str">
        <x:v>Venusaur</x:v>
      </x:c>
      <x:c r="C149" s="29" t="str">
        <x:v>妙蛙花</x:v>
      </x:c>
      <x:c r="D149" s="29" t="str">
        <x:v>CGC 8</x:v>
      </x:c>
      <x:c r="E149" s="29" t="str">
        <x:v>CGC</x:v>
      </x:c>
      <x:c r="F149" s="30" t="n">
        <x:v>198</x:v>
      </x:c>
      <x:c r="G149" s="30" t="n">
        <x:v>198</x:v>
      </x:c>
      <x:c r="H149" s="29" t="str">
        <x:v>$198</x:v>
      </x:c>
      <x:c r="I149" s="31" t="n">
        <x:f>ROUND(G149*J149,0)</x:f>
        <x:v>6395</x:v>
      </x:c>
      <x:c r="J149" s="32" t="n">
        <x:v>32.3</x:v>
      </x:c>
      <x:c r="K149" s="29" t="str">
        <x:v>Auction</x:v>
      </x:c>
      <x:c r="L149" s="29" t="str">
        <x:v>Fanatics</x:v>
      </x:c>
      <x:c r="M149" s="33" t="str">
        <x:v>https://www.fanaticscollect.com/weekly/e3cef626-8f41-11ef-90af-0a58a9feac02</x:v>
      </x:c>
    </x:row>
    <x:row r="150">
      <x:c r="A150" s="28" t="n">
        <x:v>45599</x:v>
      </x:c>
      <x:c r="B150" s="29" t="str">
        <x:v>Venusaur</x:v>
      </x:c>
      <x:c r="C150" s="29" t="str">
        <x:v>妙蛙花</x:v>
      </x:c>
      <x:c r="D150" s="29" t="str">
        <x:v>PSA 9</x:v>
      </x:c>
      <x:c r="E150" s="29" t="str">
        <x:v>PSA</x:v>
      </x:c>
      <x:c r="F150" s="30" t="n">
        <x:v>528</x:v>
      </x:c>
      <x:c r="G150" s="30" t="n">
        <x:v>528</x:v>
      </x:c>
      <x:c r="H150" s="29" t="str">
        <x:v>$528</x:v>
      </x:c>
      <x:c r="I150" s="31" t="n">
        <x:f>ROUND(G150*J150,0)</x:f>
        <x:v>17054</x:v>
      </x:c>
      <x:c r="J150" s="32" t="n">
        <x:v>32.3</x:v>
      </x:c>
      <x:c r="K150" s="29" t="str">
        <x:v>Auction</x:v>
      </x:c>
      <x:c r="L150" s="29" t="str">
        <x:v>Fanatics</x:v>
      </x:c>
      <x:c r="M150" s="33" t="str">
        <x:v>https://www.fanaticscollect.com/weekly/e3fc4522-8f41-11ef-aa50-0a58a9feac02</x:v>
      </x:c>
    </x:row>
    <x:row r="151">
      <x:c r="A151" s="28" t="n">
        <x:v>45578</x:v>
      </x:c>
      <x:c r="B151" s="29" t="str">
        <x:v>Pikachu</x:v>
      </x:c>
      <x:c r="C151" s="29" t="str">
        <x:v>皮卡丘</x:v>
      </x:c>
      <x:c r="D151" s="29" t="str">
        <x:v>CGC 9.5</x:v>
      </x:c>
      <x:c r="E151" s="29" t="str">
        <x:v>CGC</x:v>
      </x:c>
      <x:c r="F151" s="30" t="n">
        <x:v>105.6</x:v>
      </x:c>
      <x:c r="G151" s="30" t="n">
        <x:v>105.6</x:v>
      </x:c>
      <x:c r="H151" s="29" t="str">
        <x:v>$105.60</x:v>
      </x:c>
      <x:c r="I151" s="31" t="n">
        <x:f>ROUND(G151*J151,0)</x:f>
        <x:v>3411</x:v>
      </x:c>
      <x:c r="J151" s="32" t="n">
        <x:v>32.3</x:v>
      </x:c>
      <x:c r="K151" s="29" t="str">
        <x:v>Auction</x:v>
      </x:c>
      <x:c r="L151" s="29" t="str">
        <x:v>Fanatics</x:v>
      </x:c>
      <x:c r="M151" s="33" t="str">
        <x:v>https://www.fanaticscollect.com/weekly/b8ed6bf8-7548-11ef-ac66-0a772ffff55d</x:v>
      </x:c>
    </x:row>
    <x:row r="152">
      <x:c r="A152" s="28" t="n">
        <x:v>45557</x:v>
      </x:c>
      <x:c r="B152" s="29" t="str">
        <x:v>Charizard</x:v>
      </x:c>
      <x:c r="C152" s="29" t="str">
        <x:v>噴火龍</x:v>
      </x:c>
      <x:c r="D152" s="29" t="str">
        <x:v>PSA 5</x:v>
      </x:c>
      <x:c r="E152" s="29" t="str">
        <x:v>PSA</x:v>
      </x:c>
      <x:c r="F152" s="30" t="n">
        <x:v>1470</x:v>
      </x:c>
      <x:c r="G152" s="30" t="n">
        <x:v>1470</x:v>
      </x:c>
      <x:c r="H152" s="29" t="str">
        <x:v>$1,470</x:v>
      </x:c>
      <x:c r="I152" s="31" t="n">
        <x:f>ROUND(G152*J152,0)</x:f>
        <x:v>47481</x:v>
      </x:c>
      <x:c r="J152" s="32" t="n">
        <x:v>32.3</x:v>
      </x:c>
      <x:c r="K152" s="29" t="str">
        <x:v>Auction</x:v>
      </x:c>
      <x:c r="L152" s="29" t="str">
        <x:v>Fanatics</x:v>
      </x:c>
      <x:c r="M152" s="33" t="str">
        <x:v>https://www.fanaticscollect.com/weekly/8f38f9aa-7186-11ef-9a4a-0a58a9feac02</x:v>
      </x:c>
    </x:row>
    <x:row r="153">
      <x:c r="A153" s="28" t="n">
        <x:v>45543</x:v>
      </x:c>
      <x:c r="B153" s="29" t="str">
        <x:v>Pikachu</x:v>
      </x:c>
      <x:c r="C153" s="29" t="str">
        <x:v>皮卡丘</x:v>
      </x:c>
      <x:c r="D153" s="29" t="str">
        <x:v>CGC 10</x:v>
      </x:c>
      <x:c r="E153" s="29" t="str">
        <x:v>CGC</x:v>
      </x:c>
      <x:c r="F153" s="30" t="n">
        <x:v>480</x:v>
      </x:c>
      <x:c r="G153" s="30" t="n">
        <x:v>480</x:v>
      </x:c>
      <x:c r="H153" s="29" t="str">
        <x:v>$480</x:v>
      </x:c>
      <x:c r="I153" s="31" t="n">
        <x:f>ROUND(G153*J153,0)</x:f>
        <x:v>15504</x:v>
      </x:c>
      <x:c r="J153" s="32" t="n">
        <x:v>32.3</x:v>
      </x:c>
      <x:c r="K153" s="29" t="str">
        <x:v>Auction</x:v>
      </x:c>
      <x:c r="L153" s="29" t="str">
        <x:v>Fanatics</x:v>
      </x:c>
      <x:c r="M153" s="33" t="str">
        <x:v>https://www.fanaticscollect.com/weekly/7c9f1954-625f-11ef-a786-0acd9ee9f3a3</x:v>
      </x:c>
    </x:row>
    <x:row r="154">
      <x:c r="A154" s="28" t="n">
        <x:v>45495</x:v>
      </x:c>
      <x:c r="B154" s="29" t="str">
        <x:v>Magikarp</x:v>
      </x:c>
      <x:c r="C154" s="29" t="str">
        <x:v>鯉魚王</x:v>
      </x:c>
      <x:c r="D154" s="29" t="str">
        <x:v>CGC 9</x:v>
      </x:c>
      <x:c r="E154" s="29" t="str">
        <x:v>CGC</x:v>
      </x:c>
      <x:c r="F154" s="30" t="n">
        <x:v>16.8</x:v>
      </x:c>
      <x:c r="G154" s="30" t="n">
        <x:v>16.8</x:v>
      </x:c>
      <x:c r="H154" s="29" t="str">
        <x:v>$16.80</x:v>
      </x:c>
      <x:c r="I154" s="31" t="n">
        <x:f>ROUND(G154*J154,0)</x:f>
        <x:v>543</x:v>
      </x:c>
      <x:c r="J154" s="32" t="n">
        <x:v>32.3</x:v>
      </x:c>
      <x:c r="K154" s="29" t="str">
        <x:v>Auction</x:v>
      </x:c>
      <x:c r="L154" s="29" t="str">
        <x:v>Fanatics</x:v>
      </x:c>
      <x:c r="M154" s="33" t="str">
        <x:v>https://www.fanaticscollect.com/weekly/80e7415a-439f-11ef-8534-0a58a9feac02</x:v>
      </x:c>
    </x:row>
    <x:row r="155">
      <x:c r="A155" s="28" t="n">
        <x:v>45494</x:v>
      </x:c>
      <x:c r="B155" s="29" t="str">
        <x:v>Blastoise</x:v>
      </x:c>
      <x:c r="C155" s="29" t="str">
        <x:v>水箭龜</x:v>
      </x:c>
      <x:c r="D155" s="29" t="str">
        <x:v>PSA MINT 9</x:v>
      </x:c>
      <x:c r="E155" s="29" t="str">
        <x:v>PSA</x:v>
      </x:c>
      <x:c r="F155" s="30" t="n">
        <x:v>1515.24</x:v>
      </x:c>
      <x:c r="G155" s="30" t="n">
        <x:v>1515.24</x:v>
      </x:c>
      <x:c r="H155" s="29" t="str">
        <x:v>$1,515.24 USD</x:v>
      </x:c>
      <x:c r="I155" s="31" t="n">
        <x:f>ROUND(G155*J155,0)</x:f>
        <x:v>48942</x:v>
      </x:c>
      <x:c r="J155" s="32" t="n">
        <x:v>32.3</x:v>
      </x:c>
      <x:c r="K155" s="29" t="str">
        <x:v>Auction</x:v>
      </x:c>
      <x:c r="L155" s="29" t="str">
        <x:v>Goldin</x:v>
      </x:c>
      <x:c r="M155" s="33" t="str">
        <x:v>https://goldin.co/item/2000-pokemon-chinese-1st-edition-holo-2-blastoise-psa-mint-9a9jlp</x:v>
      </x:c>
    </x:row>
    <x:row r="156">
      <x:c r="A156" s="28" t="n">
        <x:v>45494</x:v>
      </x:c>
      <x:c r="B156" s="29" t="str">
        <x:v>Charizard</x:v>
      </x:c>
      <x:c r="C156" s="29" t="str">
        <x:v>噴火龍</x:v>
      </x:c>
      <x:c r="D156" s="29" t="str">
        <x:v>PSA MINT 9</x:v>
      </x:c>
      <x:c r="E156" s="29" t="str">
        <x:v>PSA</x:v>
      </x:c>
      <x:c r="F156" s="30" t="n">
        <x:v>6954</x:v>
      </x:c>
      <x:c r="G156" s="30" t="n">
        <x:v>6954</x:v>
      </x:c>
      <x:c r="H156" s="29" t="str">
        <x:v>$6,954.00 USD</x:v>
      </x:c>
      <x:c r="I156" s="31" t="n">
        <x:f>ROUND(G156*J156,0)</x:f>
        <x:v>224614</x:v>
      </x:c>
      <x:c r="J156" s="32" t="n">
        <x:v>32.3</x:v>
      </x:c>
      <x:c r="K156" s="29" t="str">
        <x:v>Auction</x:v>
      </x:c>
      <x:c r="L156" s="29" t="str">
        <x:v>Goldin</x:v>
      </x:c>
      <x:c r="M156" s="33" t="str">
        <x:v>https://goldin.co/item/2000-pokemon-chinese-1st-edition-holo-4-charizard-psa-mint-951jiw</x:v>
      </x:c>
    </x:row>
    <x:row r="157">
      <x:c r="A157" s="28" t="n">
        <x:v>45494</x:v>
      </x:c>
      <x:c r="B157" s="29" t="str">
        <x:v>Venusaur</x:v>
      </x:c>
      <x:c r="C157" s="29" t="str">
        <x:v>妙蛙花</x:v>
      </x:c>
      <x:c r="D157" s="29" t="str">
        <x:v>PSA NM-MT 8</x:v>
      </x:c>
      <x:c r="E157" s="29" t="str">
        <x:v>PSA</x:v>
      </x:c>
      <x:c r="F157" s="30" t="n">
        <x:v>348.92</x:v>
      </x:c>
      <x:c r="G157" s="30" t="n">
        <x:v>348.92</x:v>
      </x:c>
      <x:c r="H157" s="29" t="str">
        <x:v>$348.92 USD</x:v>
      </x:c>
      <x:c r="I157" s="31" t="n">
        <x:f>ROUND(G157*J157,0)</x:f>
        <x:v>11270</x:v>
      </x:c>
      <x:c r="J157" s="32" t="n">
        <x:v>32.3</x:v>
      </x:c>
      <x:c r="K157" s="29" t="str">
        <x:v>Auction</x:v>
      </x:c>
      <x:c r="L157" s="29" t="str">
        <x:v>Goldin</x:v>
      </x:c>
      <x:c r="M157" s="33" t="str">
        <x:v>https://goldin.co/item/2000-pokemon-chinese-1st-edition-holo-15-venusaur-psa-nm-mt-8l9xcc</x:v>
      </x:c>
    </x:row>
    <x:row r="158">
      <x:c r="A158" s="28" t="n">
        <x:v>45487</x:v>
      </x:c>
      <x:c r="B158" s="29" t="str">
        <x:v>Charmander</x:v>
      </x:c>
      <x:c r="C158" s="29" t="str">
        <x:v>小火龍</x:v>
      </x:c>
      <x:c r="D158" s="29" t="str">
        <x:v>CGC 8.5</x:v>
      </x:c>
      <x:c r="E158" s="29" t="str">
        <x:v>CGC</x:v>
      </x:c>
      <x:c r="F158" s="30" t="n">
        <x:v>15.6</x:v>
      </x:c>
      <x:c r="G158" s="30" t="n">
        <x:v>15.6</x:v>
      </x:c>
      <x:c r="H158" s="29" t="str">
        <x:v>$15.60</x:v>
      </x:c>
      <x:c r="I158" s="31" t="n">
        <x:f>ROUND(G158*J158,0)</x:f>
        <x:v>504</x:v>
      </x:c>
      <x:c r="J158" s="32" t="n">
        <x:v>32.3</x:v>
      </x:c>
      <x:c r="K158" s="29" t="str">
        <x:v>Auction</x:v>
      </x:c>
      <x:c r="L158" s="29" t="str">
        <x:v>Fanatics</x:v>
      </x:c>
      <x:c r="M158" s="33" t="str">
        <x:v>https://www.fanaticscollect.com/weekly/4788952e-3c8a-11ef-a504-06ad425e7b71</x:v>
      </x:c>
    </x:row>
    <x:row r="159">
      <x:c r="A159" s="28" t="n">
        <x:v>45473</x:v>
      </x:c>
      <x:c r="B159" s="29" t="str">
        <x:v>Alakazam</x:v>
      </x:c>
      <x:c r="C159" s="29" t="str">
        <x:v>胡地</x:v>
      </x:c>
      <x:c r="D159" s="29" t="str">
        <x:v>CGC 7.5</x:v>
      </x:c>
      <x:c r="E159" s="29" t="str">
        <x:v>CGC</x:v>
      </x:c>
      <x:c r="F159" s="30" t="n">
        <x:v>103.2</x:v>
      </x:c>
      <x:c r="G159" s="30" t="n">
        <x:v>103.2</x:v>
      </x:c>
      <x:c r="H159" s="29" t="str">
        <x:v>$103.20</x:v>
      </x:c>
      <x:c r="I159" s="31" t="n">
        <x:f>ROUND(G159*J159,0)</x:f>
        <x:v>3333</x:v>
      </x:c>
      <x:c r="J159" s="32" t="n">
        <x:v>32.3</x:v>
      </x:c>
      <x:c r="K159" s="29" t="str">
        <x:v>Auction</x:v>
      </x:c>
      <x:c r="L159" s="29" t="str">
        <x:v>Fanatics</x:v>
      </x:c>
      <x:c r="M159" s="33" t="str">
        <x:v>https://www.fanaticscollect.com/weekly/6ae1804c-21f7-11ef-bad2-02f48d337893</x:v>
      </x:c>
    </x:row>
    <x:row r="160">
      <x:c r="A160" s="28" t="n">
        <x:v>45473</x:v>
      </x:c>
      <x:c r="B160" s="29" t="str">
        <x:v>Blastoise</x:v>
      </x:c>
      <x:c r="C160" s="29" t="str">
        <x:v>水箭龜</x:v>
      </x:c>
      <x:c r="D160" s="29" t="str">
        <x:v>CGC 7.5</x:v>
      </x:c>
      <x:c r="E160" s="29" t="str">
        <x:v>CGC</x:v>
      </x:c>
      <x:c r="F160" s="30" t="n">
        <x:v>234</x:v>
      </x:c>
      <x:c r="G160" s="30" t="n">
        <x:v>234</x:v>
      </x:c>
      <x:c r="H160" s="29" t="str">
        <x:v>$234</x:v>
      </x:c>
      <x:c r="I160" s="31" t="n">
        <x:f>ROUND(G160*J160,0)</x:f>
        <x:v>7558</x:v>
      </x:c>
      <x:c r="J160" s="32" t="n">
        <x:v>32.3</x:v>
      </x:c>
      <x:c r="K160" s="29" t="str">
        <x:v>Auction</x:v>
      </x:c>
      <x:c r="L160" s="29" t="str">
        <x:v>Fanatics</x:v>
      </x:c>
      <x:c r="M160" s="33" t="str">
        <x:v>https://www.fanaticscollect.com/weekly/6ae28140-21f7-11ef-a5c0-02f48d337893</x:v>
      </x:c>
    </x:row>
    <x:row r="161">
      <x:c r="A161" s="28" t="n">
        <x:v>45473</x:v>
      </x:c>
      <x:c r="B161" s="29" t="str">
        <x:v>Chansey</x:v>
      </x:c>
      <x:c r="C161" s="29" t="str">
        <x:v>吉利蛋</x:v>
      </x:c>
      <x:c r="D161" s="29" t="str">
        <x:v>CGC 7</x:v>
      </x:c>
      <x:c r="E161" s="29" t="str">
        <x:v>CGC</x:v>
      </x:c>
      <x:c r="F161" s="30" t="n">
        <x:v>79.2</x:v>
      </x:c>
      <x:c r="G161" s="30" t="n">
        <x:v>79.2</x:v>
      </x:c>
      <x:c r="H161" s="29" t="str">
        <x:v>$79.20</x:v>
      </x:c>
      <x:c r="I161" s="31" t="n">
        <x:f>ROUND(G161*J161,0)</x:f>
        <x:v>2558</x:v>
      </x:c>
      <x:c r="J161" s="32" t="n">
        <x:v>32.3</x:v>
      </x:c>
      <x:c r="K161" s="29" t="str">
        <x:v>Auction</x:v>
      </x:c>
      <x:c r="L161" s="29" t="str">
        <x:v>Fanatics</x:v>
      </x:c>
      <x:c r="M161" s="33" t="str">
        <x:v>https://www.fanaticscollect.com/weekly/6ae2f706-21f7-11ef-b9ec-02f48d337893</x:v>
      </x:c>
    </x:row>
    <x:row r="162">
      <x:c r="A162" s="28" t="n">
        <x:v>45473</x:v>
      </x:c>
      <x:c r="B162" s="29" t="str">
        <x:v>Gyarados</x:v>
      </x:c>
      <x:c r="C162" s="29" t="str">
        <x:v>暴鯉龍</x:v>
      </x:c>
      <x:c r="D162" s="29" t="str">
        <x:v>CGC 7.5</x:v>
      </x:c>
      <x:c r="E162" s="29" t="str">
        <x:v>CGC</x:v>
      </x:c>
      <x:c r="F162" s="30" t="n">
        <x:v>103.2</x:v>
      </x:c>
      <x:c r="G162" s="30" t="n">
        <x:v>103.2</x:v>
      </x:c>
      <x:c r="H162" s="29" t="str">
        <x:v>$103.20</x:v>
      </x:c>
      <x:c r="I162" s="31" t="n">
        <x:f>ROUND(G162*J162,0)</x:f>
        <x:v>3333</x:v>
      </x:c>
      <x:c r="J162" s="32" t="n">
        <x:v>32.3</x:v>
      </x:c>
      <x:c r="K162" s="29" t="str">
        <x:v>Auction</x:v>
      </x:c>
      <x:c r="L162" s="29" t="str">
        <x:v>Fanatics</x:v>
      </x:c>
      <x:c r="M162" s="33" t="str">
        <x:v>https://www.fanaticscollect.com/weekly/6ae3fdfe-21f7-11ef-8e11-02f48d337893</x:v>
      </x:c>
    </x:row>
    <x:row r="163">
      <x:c r="A163" s="28" t="n">
        <x:v>45473</x:v>
      </x:c>
      <x:c r="B163" s="29" t="str">
        <x:v>Hitmonchan</x:v>
      </x:c>
      <x:c r="C163" s="29" t="str">
        <x:v>快拳郎</x:v>
      </x:c>
      <x:c r="D163" s="29" t="str">
        <x:v>CGC 7</x:v>
      </x:c>
      <x:c r="E163" s="29" t="str">
        <x:v>CGC</x:v>
      </x:c>
      <x:c r="F163" s="30" t="n">
        <x:v>62.4</x:v>
      </x:c>
      <x:c r="G163" s="30" t="n">
        <x:v>62.4</x:v>
      </x:c>
      <x:c r="H163" s="29" t="str">
        <x:v>$62.40</x:v>
      </x:c>
      <x:c r="I163" s="31" t="n">
        <x:f>ROUND(G163*J163,0)</x:f>
        <x:v>2016</x:v>
      </x:c>
      <x:c r="J163" s="32" t="n">
        <x:v>32.3</x:v>
      </x:c>
      <x:c r="K163" s="29" t="str">
        <x:v>Auction</x:v>
      </x:c>
      <x:c r="L163" s="29" t="str">
        <x:v>Fanatics</x:v>
      </x:c>
      <x:c r="M163" s="33" t="str">
        <x:v>https://www.fanaticscollect.com/weekly/6ae46f64-21f7-11ef-858b-02f48d337893</x:v>
      </x:c>
    </x:row>
    <x:row r="164">
      <x:c r="A164" s="28" t="n">
        <x:v>45473</x:v>
      </x:c>
      <x:c r="B164" s="29" t="str">
        <x:v>Machamp</x:v>
      </x:c>
      <x:c r="C164" s="29" t="str">
        <x:v>怪力</x:v>
      </x:c>
      <x:c r="D164" s="29" t="str">
        <x:v>CGC 9</x:v>
      </x:c>
      <x:c r="E164" s="29" t="str">
        <x:v>CGC</x:v>
      </x:c>
      <x:c r="F164" s="30" t="n">
        <x:v>156</x:v>
      </x:c>
      <x:c r="G164" s="30" t="n">
        <x:v>156</x:v>
      </x:c>
      <x:c r="H164" s="29" t="str">
        <x:v>$156</x:v>
      </x:c>
      <x:c r="I164" s="31" t="n">
        <x:f>ROUND(G164*J164,0)</x:f>
        <x:v>5039</x:v>
      </x:c>
      <x:c r="J164" s="32" t="n">
        <x:v>32.3</x:v>
      </x:c>
      <x:c r="K164" s="29" t="str">
        <x:v>Auction</x:v>
      </x:c>
      <x:c r="L164" s="29" t="str">
        <x:v>Fanatics</x:v>
      </x:c>
      <x:c r="M164" s="33" t="str">
        <x:v>https://www.fanaticscollect.com/weekly/6ae4defe-21f7-11ef-b8ae-02f48d337893</x:v>
      </x:c>
    </x:row>
    <x:row r="165">
      <x:c r="A165" s="28" t="n">
        <x:v>45473</x:v>
      </x:c>
      <x:c r="B165" s="29" t="str">
        <x:v>Magneton</x:v>
      </x:c>
      <x:c r="C165" s="29" t="str">
        <x:v>三磁怪</x:v>
      </x:c>
      <x:c r="D165" s="29" t="str">
        <x:v>CGC 8</x:v>
      </x:c>
      <x:c r="E165" s="29" t="str">
        <x:v>CGC</x:v>
      </x:c>
      <x:c r="F165" s="30" t="n">
        <x:v>88.8</x:v>
      </x:c>
      <x:c r="G165" s="30" t="n">
        <x:v>88.8</x:v>
      </x:c>
      <x:c r="H165" s="29" t="str">
        <x:v>$88.80</x:v>
      </x:c>
      <x:c r="I165" s="31" t="n">
        <x:f>ROUND(G165*J165,0)</x:f>
        <x:v>2868</x:v>
      </x:c>
      <x:c r="J165" s="32" t="n">
        <x:v>32.3</x:v>
      </x:c>
      <x:c r="K165" s="29" t="str">
        <x:v>Auction</x:v>
      </x:c>
      <x:c r="L165" s="29" t="str">
        <x:v>Fanatics</x:v>
      </x:c>
      <x:c r="M165" s="33" t="str">
        <x:v>https://www.fanaticscollect.com/weekly/6ae54d94-21f7-11ef-a833-02f48d337893</x:v>
      </x:c>
    </x:row>
    <x:row r="166">
      <x:c r="A166" s="28" t="n">
        <x:v>45473</x:v>
      </x:c>
      <x:c r="B166" s="29" t="str">
        <x:v>Mewtwo</x:v>
      </x:c>
      <x:c r="C166" s="29" t="str">
        <x:v>超夢</x:v>
      </x:c>
      <x:c r="D166" s="29" t="str">
        <x:v>CGC 9</x:v>
      </x:c>
      <x:c r="E166" s="29" t="str">
        <x:v>CGC</x:v>
      </x:c>
      <x:c r="F166" s="30" t="n">
        <x:v>276</x:v>
      </x:c>
      <x:c r="G166" s="30" t="n">
        <x:v>276</x:v>
      </x:c>
      <x:c r="H166" s="29" t="str">
        <x:v>$276</x:v>
      </x:c>
      <x:c r="I166" s="31" t="n">
        <x:f>ROUND(G166*J166,0)</x:f>
        <x:v>8915</x:v>
      </x:c>
      <x:c r="J166" s="32" t="n">
        <x:v>32.3</x:v>
      </x:c>
      <x:c r="K166" s="29" t="str">
        <x:v>Auction</x:v>
      </x:c>
      <x:c r="L166" s="29" t="str">
        <x:v>Fanatics</x:v>
      </x:c>
      <x:c r="M166" s="33" t="str">
        <x:v>https://www.fanaticscollect.com/weekly/6ae5c59e-21f7-11ef-b145-02f48d337893</x:v>
      </x:c>
    </x:row>
    <x:row r="167">
      <x:c r="A167" s="28" t="n">
        <x:v>45473</x:v>
      </x:c>
      <x:c r="B167" s="29" t="str">
        <x:v>Nidoking</x:v>
      </x:c>
      <x:c r="C167" s="29" t="str">
        <x:v>尼多王</x:v>
      </x:c>
      <x:c r="D167" s="29" t="str">
        <x:v>CGC 7.5</x:v>
      </x:c>
      <x:c r="E167" s="29" t="str">
        <x:v>CGC</x:v>
      </x:c>
      <x:c r="F167" s="30" t="n">
        <x:v>72</x:v>
      </x:c>
      <x:c r="G167" s="30" t="n">
        <x:v>72</x:v>
      </x:c>
      <x:c r="H167" s="29" t="str">
        <x:v>$72</x:v>
      </x:c>
      <x:c r="I167" s="31" t="n">
        <x:f>ROUND(G167*J167,0)</x:f>
        <x:v>2326</x:v>
      </x:c>
      <x:c r="J167" s="32" t="n">
        <x:v>32.3</x:v>
      </x:c>
      <x:c r="K167" s="29" t="str">
        <x:v>Auction</x:v>
      </x:c>
      <x:c r="L167" s="29" t="str">
        <x:v>Fanatics</x:v>
      </x:c>
      <x:c r="M167" s="33" t="str">
        <x:v>https://www.fanaticscollect.com/weekly/6ae62f8e-21f7-11ef-96d2-02f48d337893</x:v>
      </x:c>
    </x:row>
    <x:row r="168">
      <x:c r="A168" s="28" t="n">
        <x:v>45473</x:v>
      </x:c>
      <x:c r="B168" s="29" t="str">
        <x:v>Ninetales</x:v>
      </x:c>
      <x:c r="C168" s="29" t="str">
        <x:v>九尾</x:v>
      </x:c>
      <x:c r="D168" s="29" t="str">
        <x:v>CGC 7.5</x:v>
      </x:c>
      <x:c r="E168" s="29" t="str">
        <x:v>CGC</x:v>
      </x:c>
      <x:c r="F168" s="30" t="n">
        <x:v>74.4</x:v>
      </x:c>
      <x:c r="G168" s="30" t="n">
        <x:v>74.4</x:v>
      </x:c>
      <x:c r="H168" s="29" t="str">
        <x:v>$74.40</x:v>
      </x:c>
      <x:c r="I168" s="31" t="n">
        <x:f>ROUND(G168*J168,0)</x:f>
        <x:v>2403</x:v>
      </x:c>
      <x:c r="J168" s="32" t="n">
        <x:v>32.3</x:v>
      </x:c>
      <x:c r="K168" s="29" t="str">
        <x:v>Auction</x:v>
      </x:c>
      <x:c r="L168" s="29" t="str">
        <x:v>Fanatics</x:v>
      </x:c>
      <x:c r="M168" s="33" t="str">
        <x:v>https://www.fanaticscollect.com/weekly/6ae69cc6-21f7-11ef-af25-02f48d337893</x:v>
      </x:c>
    </x:row>
    <x:row r="169">
      <x:c r="A169" s="28" t="n">
        <x:v>45473</x:v>
      </x:c>
      <x:c r="B169" s="29" t="str">
        <x:v>Poliwrath</x:v>
      </x:c>
      <x:c r="C169" s="29" t="str">
        <x:v>蚊香士</x:v>
      </x:c>
      <x:c r="D169" s="29" t="str">
        <x:v>CGC 7.5</x:v>
      </x:c>
      <x:c r="E169" s="29" t="str">
        <x:v>CGC</x:v>
      </x:c>
      <x:c r="F169" s="30" t="n">
        <x:v>62.4</x:v>
      </x:c>
      <x:c r="G169" s="30" t="n">
        <x:v>62.4</x:v>
      </x:c>
      <x:c r="H169" s="29" t="str">
        <x:v>$62.40</x:v>
      </x:c>
      <x:c r="I169" s="31" t="n">
        <x:f>ROUND(G169*J169,0)</x:f>
        <x:v>2016</x:v>
      </x:c>
      <x:c r="J169" s="32" t="n">
        <x:v>32.3</x:v>
      </x:c>
      <x:c r="K169" s="29" t="str">
        <x:v>Auction</x:v>
      </x:c>
      <x:c r="L169" s="29" t="str">
        <x:v>Fanatics</x:v>
      </x:c>
      <x:c r="M169" s="33" t="str">
        <x:v>https://www.fanaticscollect.com/weekly/6ae70efe-21f7-11ef-a16b-02f48d337893</x:v>
      </x:c>
    </x:row>
    <x:row r="170">
      <x:c r="A170" s="28" t="n">
        <x:v>45473</x:v>
      </x:c>
      <x:c r="B170" s="29" t="str">
        <x:v>Raichu</x:v>
      </x:c>
      <x:c r="C170" s="29" t="str">
        <x:v>雷丘</x:v>
      </x:c>
      <x:c r="D170" s="29" t="str">
        <x:v>CGC 7.5</x:v>
      </x:c>
      <x:c r="E170" s="29" t="str">
        <x:v>CGC</x:v>
      </x:c>
      <x:c r="F170" s="30" t="n">
        <x:v>88.8</x:v>
      </x:c>
      <x:c r="G170" s="30" t="n">
        <x:v>88.8</x:v>
      </x:c>
      <x:c r="H170" s="29" t="str">
        <x:v>$88.80</x:v>
      </x:c>
      <x:c r="I170" s="31" t="n">
        <x:f>ROUND(G170*J170,0)</x:f>
        <x:v>2868</x:v>
      </x:c>
      <x:c r="J170" s="32" t="n">
        <x:v>32.3</x:v>
      </x:c>
      <x:c r="K170" s="29" t="str">
        <x:v>Auction</x:v>
      </x:c>
      <x:c r="L170" s="29" t="str">
        <x:v>Fanatics</x:v>
      </x:c>
      <x:c r="M170" s="33" t="str">
        <x:v>https://www.fanaticscollect.com/weekly/6ae77a88-21f7-11ef-b343-02f48d337893</x:v>
      </x:c>
    </x:row>
    <x:row r="171">
      <x:c r="A171" s="28" t="n">
        <x:v>45473</x:v>
      </x:c>
      <x:c r="B171" s="29" t="str">
        <x:v>Venusaur</x:v>
      </x:c>
      <x:c r="C171" s="29" t="str">
        <x:v>妙蛙花</x:v>
      </x:c>
      <x:c r="D171" s="29" t="str">
        <x:v>CGC 7</x:v>
      </x:c>
      <x:c r="E171" s="29" t="str">
        <x:v>CGC</x:v>
      </x:c>
      <x:c r="F171" s="30" t="n">
        <x:v>192</x:v>
      </x:c>
      <x:c r="G171" s="30" t="n">
        <x:v>192</x:v>
      </x:c>
      <x:c r="H171" s="29" t="str">
        <x:v>$192</x:v>
      </x:c>
      <x:c r="I171" s="31" t="n">
        <x:f>ROUND(G171*J171,0)</x:f>
        <x:v>6202</x:v>
      </x:c>
      <x:c r="J171" s="32" t="n">
        <x:v>32.3</x:v>
      </x:c>
      <x:c r="K171" s="29" t="str">
        <x:v>Auction</x:v>
      </x:c>
      <x:c r="L171" s="29" t="str">
        <x:v>Fanatics</x:v>
      </x:c>
      <x:c r="M171" s="33" t="str">
        <x:v>https://www.fanaticscollect.com/weekly/6ae7e914-21f7-11ef-9f19-02f48d337893</x:v>
      </x:c>
    </x:row>
    <x:row r="172">
      <x:c r="A172" s="28" t="n">
        <x:v>45473</x:v>
      </x:c>
      <x:c r="B172" s="29" t="str">
        <x:v>Zapdos</x:v>
      </x:c>
      <x:c r="C172" s="29" t="str">
        <x:v>閃電鳥</x:v>
      </x:c>
      <x:c r="D172" s="29" t="str">
        <x:v>CGC 8</x:v>
      </x:c>
      <x:c r="E172" s="29" t="str">
        <x:v>CGC</x:v>
      </x:c>
      <x:c r="F172" s="30" t="n">
        <x:v>100.8</x:v>
      </x:c>
      <x:c r="G172" s="30" t="n">
        <x:v>100.8</x:v>
      </x:c>
      <x:c r="H172" s="29" t="str">
        <x:v>$100.80</x:v>
      </x:c>
      <x:c r="I172" s="31" t="n">
        <x:f>ROUND(G172*J172,0)</x:f>
        <x:v>3256</x:v>
      </x:c>
      <x:c r="J172" s="32" t="n">
        <x:v>32.3</x:v>
      </x:c>
      <x:c r="K172" s="29" t="str">
        <x:v>Auction</x:v>
      </x:c>
      <x:c r="L172" s="29" t="str">
        <x:v>Fanatics</x:v>
      </x:c>
      <x:c r="M172" s="33" t="str">
        <x:v>https://www.fanaticscollect.com/weekly/6ae852b4-21f7-11ef-8cf0-02f48d337893</x:v>
      </x:c>
    </x:row>
    <x:row r="173">
      <x:c r="A173" s="28" t="n">
        <x:v>45466</x:v>
      </x:c>
      <x:c r="B173" s="29" t="str">
        <x:v>Pikachu</x:v>
      </x:c>
      <x:c r="C173" s="29" t="str">
        <x:v>皮卡丘</x:v>
      </x:c>
      <x:c r="D173" s="29" t="str">
        <x:v>PSA 8</x:v>
      </x:c>
      <x:c r="E173" s="29" t="str">
        <x:v>PSA</x:v>
      </x:c>
      <x:c r="F173" s="30" t="n">
        <x:v>49.2</x:v>
      </x:c>
      <x:c r="G173" s="30" t="n">
        <x:v>49.2</x:v>
      </x:c>
      <x:c r="H173" s="29" t="str">
        <x:v>$49.20</x:v>
      </x:c>
      <x:c r="I173" s="31" t="n">
        <x:f>ROUND(G173*J173,0)</x:f>
        <x:v>1589</x:v>
      </x:c>
      <x:c r="J173" s="32" t="n">
        <x:v>32.3</x:v>
      </x:c>
      <x:c r="K173" s="29" t="str">
        <x:v>Auction</x:v>
      </x:c>
      <x:c r="L173" s="29" t="str">
        <x:v>Fanatics</x:v>
      </x:c>
      <x:c r="M173" s="33" t="str">
        <x:v>https://www.fanaticscollect.com/weekly/cf3ebfd0-254b-11ef-a3a5-0aba10a19509</x:v>
      </x:c>
    </x:row>
    <x:row r="174">
      <x:c r="A174" s="28" t="n">
        <x:v>45431</x:v>
      </x:c>
      <x:c r="B174" s="29" t="str">
        <x:v>Bulbasaur</x:v>
      </x:c>
      <x:c r="C174" s="29" t="str">
        <x:v>妙蛙種子</x:v>
      </x:c>
      <x:c r="D174" s="29" t="str">
        <x:v>PSA 9</x:v>
      </x:c>
      <x:c r="E174" s="29" t="str">
        <x:v>PSA</x:v>
      </x:c>
      <x:c r="F174" s="30" t="n">
        <x:v>44.4</x:v>
      </x:c>
      <x:c r="G174" s="30" t="n">
        <x:v>44.4</x:v>
      </x:c>
      <x:c r="H174" s="29" t="str">
        <x:v>$44.40</x:v>
      </x:c>
      <x:c r="I174" s="31" t="n">
        <x:f>ROUND(G174*J174,0)</x:f>
        <x:v>1434</x:v>
      </x:c>
      <x:c r="J174" s="32" t="n">
        <x:v>32.3</x:v>
      </x:c>
      <x:c r="K174" s="29" t="str">
        <x:v>Auction</x:v>
      </x:c>
      <x:c r="L174" s="29" t="str">
        <x:v>Fanatics</x:v>
      </x:c>
      <x:c r="M174" s="33" t="str">
        <x:v>https://www.fanaticscollect.com/weekly/6b6217ea-08be-11ef-bfda-0a58a9feac02</x:v>
      </x:c>
    </x:row>
    <x:row r="175">
      <x:c r="A175" s="28" t="n">
        <x:v>45431</x:v>
      </x:c>
      <x:c r="B175" s="29" t="str">
        <x:v>Charmeleon</x:v>
      </x:c>
      <x:c r="C175" s="29" t="str">
        <x:v>火恐龍</x:v>
      </x:c>
      <x:c r="D175" s="29" t="str">
        <x:v>PSA 9</x:v>
      </x:c>
      <x:c r="E175" s="29" t="str">
        <x:v>PSA</x:v>
      </x:c>
      <x:c r="F175" s="30" t="n">
        <x:v>55.2</x:v>
      </x:c>
      <x:c r="G175" s="30" t="n">
        <x:v>55.2</x:v>
      </x:c>
      <x:c r="H175" s="29" t="str">
        <x:v>$55.20</x:v>
      </x:c>
      <x:c r="I175" s="31" t="n">
        <x:f>ROUND(G175*J175,0)</x:f>
        <x:v>1783</x:v>
      </x:c>
      <x:c r="J175" s="32" t="n">
        <x:v>32.3</x:v>
      </x:c>
      <x:c r="K175" s="29" t="str">
        <x:v>Auction</x:v>
      </x:c>
      <x:c r="L175" s="29" t="str">
        <x:v>Fanatics</x:v>
      </x:c>
      <x:c r="M175" s="33" t="str">
        <x:v>https://www.fanaticscollect.com/weekly/6bb95bae-08be-11ef-a5a3-0a58a9feac02</x:v>
      </x:c>
    </x:row>
    <x:row r="176">
      <x:c r="A176" s="28" t="n">
        <x:v>45431</x:v>
      </x:c>
      <x:c r="B176" s="29" t="str">
        <x:v>Wartortle</x:v>
      </x:c>
      <x:c r="C176" s="29" t="str">
        <x:v>卡咪龜</x:v>
      </x:c>
      <x:c r="D176" s="29" t="str">
        <x:v>PSA 9</x:v>
      </x:c>
      <x:c r="E176" s="29" t="str">
        <x:v>PSA</x:v>
      </x:c>
      <x:c r="F176" s="30" t="n">
        <x:v>25.2</x:v>
      </x:c>
      <x:c r="G176" s="30" t="n">
        <x:v>25.2</x:v>
      </x:c>
      <x:c r="H176" s="29" t="str">
        <x:v>$25.20</x:v>
      </x:c>
      <x:c r="I176" s="31" t="n">
        <x:f>ROUND(G176*J176,0)</x:f>
        <x:v>814</x:v>
      </x:c>
      <x:c r="J176" s="32" t="n">
        <x:v>32.3</x:v>
      </x:c>
      <x:c r="K176" s="29" t="str">
        <x:v>Auction</x:v>
      </x:c>
      <x:c r="L176" s="29" t="str">
        <x:v>Fanatics</x:v>
      </x:c>
      <x:c r="M176" s="33" t="str">
        <x:v>https://www.fanaticscollect.com/weekly/6c6b9c88-08be-11ef-a1d7-0a58a9feac02</x:v>
      </x:c>
    </x:row>
    <x:row r="177">
      <x:c r="A177" s="28" t="n">
        <x:v>45417</x:v>
      </x:c>
      <x:c r="B177" s="29" t="str">
        <x:v>Pikachu</x:v>
      </x:c>
      <x:c r="C177" s="29" t="str">
        <x:v>皮卡丘</x:v>
      </x:c>
      <x:c r="D177" s="29" t="str">
        <x:v>CGC 9</x:v>
      </x:c>
      <x:c r="E177" s="29" t="str">
        <x:v>CGC</x:v>
      </x:c>
      <x:c r="F177" s="30" t="n">
        <x:v>43.2</x:v>
      </x:c>
      <x:c r="G177" s="30" t="n">
        <x:v>43.2</x:v>
      </x:c>
      <x:c r="H177" s="29" t="str">
        <x:v>$43.20</x:v>
      </x:c>
      <x:c r="I177" s="31" t="n">
        <x:f>ROUND(G177*J177,0)</x:f>
        <x:v>1395</x:v>
      </x:c>
      <x:c r="J177" s="32" t="n">
        <x:v>32.3</x:v>
      </x:c>
      <x:c r="K177" s="29" t="str">
        <x:v>Auction</x:v>
      </x:c>
      <x:c r="L177" s="29" t="str">
        <x:v>Fanatics</x:v>
      </x:c>
      <x:c r="M177" s="33" t="str">
        <x:v>https://www.fanaticscollect.com/weekly/0f89f1d4-04f1-11ef-a071-0ab4c3a19dad</x:v>
      </x:c>
    </x:row>
    <x:row r="178">
      <x:c r="A178" s="28" t="n">
        <x:v>45403</x:v>
      </x:c>
      <x:c r="B178" s="29" t="str">
        <x:v>Alakazam</x:v>
      </x:c>
      <x:c r="C178" s="29" t="str">
        <x:v>胡地</x:v>
      </x:c>
      <x:c r="D178" s="29" t="str">
        <x:v>PSA 9</x:v>
      </x:c>
      <x:c r="E178" s="29" t="str">
        <x:v>PSA</x:v>
      </x:c>
      <x:c r="F178" s="30" t="n">
        <x:v>540</x:v>
      </x:c>
      <x:c r="G178" s="30" t="n">
        <x:v>540</x:v>
      </x:c>
      <x:c r="H178" s="29" t="str">
        <x:v>$540</x:v>
      </x:c>
      <x:c r="I178" s="31" t="n">
        <x:f>ROUND(G178*J178,0)</x:f>
        <x:v>17442</x:v>
      </x:c>
      <x:c r="J178" s="32" t="n">
        <x:v>32.3</x:v>
      </x:c>
      <x:c r="K178" s="29" t="str">
        <x:v>Auction</x:v>
      </x:c>
      <x:c r="L178" s="29" t="str">
        <x:v>Fanatics</x:v>
      </x:c>
      <x:c r="M178" s="33" t="str">
        <x:v>https://www.fanaticscollect.com/weekly/f84a9cd4-ecff-11ee-9c7a-0646c7118d15</x:v>
      </x:c>
    </x:row>
    <x:row r="179">
      <x:c r="A179" s="28" t="n">
        <x:v>45403</x:v>
      </x:c>
      <x:c r="B179" s="29" t="str">
        <x:v>Blastoise</x:v>
      </x:c>
      <x:c r="C179" s="29" t="str">
        <x:v>水箭龜</x:v>
      </x:c>
      <x:c r="D179" s="29" t="str">
        <x:v>PSA 9</x:v>
      </x:c>
      <x:c r="E179" s="29" t="str">
        <x:v>PSA</x:v>
      </x:c>
      <x:c r="F179" s="30" t="n">
        <x:v>870</x:v>
      </x:c>
      <x:c r="G179" s="30" t="n">
        <x:v>870</x:v>
      </x:c>
      <x:c r="H179" s="29" t="str">
        <x:v>$870</x:v>
      </x:c>
      <x:c r="I179" s="31" t="n">
        <x:f>ROUND(G179*J179,0)</x:f>
        <x:v>28101</x:v>
      </x:c>
      <x:c r="J179" s="32" t="n">
        <x:v>32.3</x:v>
      </x:c>
      <x:c r="K179" s="29" t="str">
        <x:v>Auction</x:v>
      </x:c>
      <x:c r="L179" s="29" t="str">
        <x:v>Fanatics</x:v>
      </x:c>
      <x:c r="M179" s="33" t="str">
        <x:v>https://www.fanaticscollect.com/weekly/f850c186-ecff-11ee-a319-0646c7118d15</x:v>
      </x:c>
    </x:row>
    <x:row r="180">
      <x:c r="A180" s="28" t="n">
        <x:v>45403</x:v>
      </x:c>
      <x:c r="B180" s="29" t="str">
        <x:v>Chansey</x:v>
      </x:c>
      <x:c r="C180" s="29" t="str">
        <x:v>吉利蛋</x:v>
      </x:c>
      <x:c r="D180" s="29" t="str">
        <x:v>PSA 9</x:v>
      </x:c>
      <x:c r="E180" s="29" t="str">
        <x:v>PSA</x:v>
      </x:c>
      <x:c r="F180" s="30" t="n">
        <x:v>504</x:v>
      </x:c>
      <x:c r="G180" s="30" t="n">
        <x:v>504</x:v>
      </x:c>
      <x:c r="H180" s="29" t="str">
        <x:v>$504</x:v>
      </x:c>
      <x:c r="I180" s="31" t="n">
        <x:f>ROUND(G180*J180,0)</x:f>
        <x:v>16279</x:v>
      </x:c>
      <x:c r="J180" s="32" t="n">
        <x:v>32.3</x:v>
      </x:c>
      <x:c r="K180" s="29" t="str">
        <x:v>Auction</x:v>
      </x:c>
      <x:c r="L180" s="29" t="str">
        <x:v>Fanatics</x:v>
      </x:c>
      <x:c r="M180" s="33" t="str">
        <x:v>https://www.fanaticscollect.com/weekly/f8506722-ecff-11ee-b767-0646c7118d15</x:v>
      </x:c>
    </x:row>
    <x:row r="181">
      <x:c r="A181" s="28" t="n">
        <x:v>45403</x:v>
      </x:c>
      <x:c r="B181" s="29" t="str">
        <x:v>Charizard</x:v>
      </x:c>
      <x:c r="C181" s="29" t="str">
        <x:v>噴火龍</x:v>
      </x:c>
      <x:c r="D181" s="29" t="str">
        <x:v>PSA 8</x:v>
      </x:c>
      <x:c r="E181" s="29" t="str">
        <x:v>PSA</x:v>
      </x:c>
      <x:c r="F181" s="30" t="n">
        <x:v>2190</x:v>
      </x:c>
      <x:c r="G181" s="30" t="n">
        <x:v>2190</x:v>
      </x:c>
      <x:c r="H181" s="29" t="str">
        <x:v>$2,190</x:v>
      </x:c>
      <x:c r="I181" s="31" t="n">
        <x:f>ROUND(G181*J181,0)</x:f>
        <x:v>70737</x:v>
      </x:c>
      <x:c r="J181" s="32" t="n">
        <x:v>32.3</x:v>
      </x:c>
      <x:c r="K181" s="29" t="str">
        <x:v>Auction</x:v>
      </x:c>
      <x:c r="L181" s="29" t="str">
        <x:v>Fanatics</x:v>
      </x:c>
      <x:c r="M181" s="33" t="str">
        <x:v>https://www.fanaticscollect.com/weekly/f8777b96-ecff-11ee-b647-0646c7118d15</x:v>
      </x:c>
    </x:row>
    <x:row r="182">
      <x:c r="A182" s="28" t="n">
        <x:v>45403</x:v>
      </x:c>
      <x:c r="B182" s="29" t="str">
        <x:v>Gyarados</x:v>
      </x:c>
      <x:c r="C182" s="29" t="str">
        <x:v>暴鯉龍</x:v>
      </x:c>
      <x:c r="D182" s="29" t="str">
        <x:v>PSA 9</x:v>
      </x:c>
      <x:c r="E182" s="29" t="str">
        <x:v>PSA</x:v>
      </x:c>
      <x:c r="F182" s="30" t="n">
        <x:v>492</x:v>
      </x:c>
      <x:c r="G182" s="30" t="n">
        <x:v>492</x:v>
      </x:c>
      <x:c r="H182" s="29" t="str">
        <x:v>$492</x:v>
      </x:c>
      <x:c r="I182" s="31" t="n">
        <x:f>ROUND(G182*J182,0)</x:f>
        <x:v>15892</x:v>
      </x:c>
      <x:c r="J182" s="32" t="n">
        <x:v>32.3</x:v>
      </x:c>
      <x:c r="K182" s="29" t="str">
        <x:v>Auction</x:v>
      </x:c>
      <x:c r="L182" s="29" t="str">
        <x:v>Fanatics</x:v>
      </x:c>
      <x:c r="M182" s="33" t="str">
        <x:v>https://www.fanaticscollect.com/weekly/f83dad94-ecff-11ee-8da3-0646c7118d15</x:v>
      </x:c>
    </x:row>
    <x:row r="183">
      <x:c r="A183" s="28" t="n">
        <x:v>45403</x:v>
      </x:c>
      <x:c r="B183" s="29" t="str">
        <x:v>Hitmonchan</x:v>
      </x:c>
      <x:c r="C183" s="29" t="str">
        <x:v>快拳郎</x:v>
      </x:c>
      <x:c r="D183" s="29" t="str">
        <x:v>PSA 9</x:v>
      </x:c>
      <x:c r="E183" s="29" t="str">
        <x:v>PSA</x:v>
      </x:c>
      <x:c r="F183" s="30" t="n">
        <x:v>234</x:v>
      </x:c>
      <x:c r="G183" s="30" t="n">
        <x:v>234</x:v>
      </x:c>
      <x:c r="H183" s="29" t="str">
        <x:v>$234</x:v>
      </x:c>
      <x:c r="I183" s="31" t="n">
        <x:f>ROUND(G183*J183,0)</x:f>
        <x:v>7558</x:v>
      </x:c>
      <x:c r="J183" s="32" t="n">
        <x:v>32.3</x:v>
      </x:c>
      <x:c r="K183" s="29" t="str">
        <x:v>Auction</x:v>
      </x:c>
      <x:c r="L183" s="29" t="str">
        <x:v>Fanatics</x:v>
      </x:c>
      <x:c r="M183" s="33" t="str">
        <x:v>https://www.fanaticscollect.com/weekly/f83d4994-ecff-11ee-a449-0646c7118d15</x:v>
      </x:c>
    </x:row>
    <x:row r="184">
      <x:c r="A184" s="28" t="n">
        <x:v>45403</x:v>
      </x:c>
      <x:c r="B184" s="29" t="str">
        <x:v>Machamp</x:v>
      </x:c>
      <x:c r="C184" s="29" t="str">
        <x:v>怪力</x:v>
      </x:c>
      <x:c r="D184" s="29" t="str">
        <x:v>PSA 9</x:v>
      </x:c>
      <x:c r="E184" s="29" t="str">
        <x:v>PSA</x:v>
      </x:c>
      <x:c r="F184" s="30" t="n">
        <x:v>276</x:v>
      </x:c>
      <x:c r="G184" s="30" t="n">
        <x:v>276</x:v>
      </x:c>
      <x:c r="H184" s="29" t="str">
        <x:v>$276</x:v>
      </x:c>
      <x:c r="I184" s="31" t="n">
        <x:f>ROUND(G184*J184,0)</x:f>
        <x:v>8915</x:v>
      </x:c>
      <x:c r="J184" s="32" t="n">
        <x:v>32.3</x:v>
      </x:c>
      <x:c r="K184" s="29" t="str">
        <x:v>Auction</x:v>
      </x:c>
      <x:c r="L184" s="29" t="str">
        <x:v>Fanatics</x:v>
      </x:c>
      <x:c r="M184" s="33" t="str">
        <x:v>https://www.fanaticscollect.com/weekly/f83c76e0-ecff-11ee-8d59-0646c7118d15</x:v>
      </x:c>
    </x:row>
    <x:row r="185">
      <x:c r="A185" s="28" t="n">
        <x:v>45403</x:v>
      </x:c>
      <x:c r="B185" s="29" t="str">
        <x:v>Magneton</x:v>
      </x:c>
      <x:c r="C185" s="29" t="str">
        <x:v>三磁怪</x:v>
      </x:c>
      <x:c r="D185" s="29" t="str">
        <x:v>PSA 8</x:v>
      </x:c>
      <x:c r="E185" s="29" t="str">
        <x:v>PSA</x:v>
      </x:c>
      <x:c r="F185" s="30" t="n">
        <x:v>62.4</x:v>
      </x:c>
      <x:c r="G185" s="30" t="n">
        <x:v>62.4</x:v>
      </x:c>
      <x:c r="H185" s="29" t="str">
        <x:v>$62.40</x:v>
      </x:c>
      <x:c r="I185" s="31" t="n">
        <x:f>ROUND(G185*J185,0)</x:f>
        <x:v>2016</x:v>
      </x:c>
      <x:c r="J185" s="32" t="n">
        <x:v>32.3</x:v>
      </x:c>
      <x:c r="K185" s="29" t="str">
        <x:v>Auction</x:v>
      </x:c>
      <x:c r="L185" s="29" t="str">
        <x:v>Fanatics</x:v>
      </x:c>
      <x:c r="M185" s="33" t="str">
        <x:v>https://www.fanaticscollect.com/weekly/f847a830-ecff-11ee-91bc-0646c7118d15</x:v>
      </x:c>
    </x:row>
    <x:row r="186">
      <x:c r="A186" s="28" t="n">
        <x:v>45403</x:v>
      </x:c>
      <x:c r="B186" s="29" t="str">
        <x:v>Mewtwo</x:v>
      </x:c>
      <x:c r="C186" s="29" t="str">
        <x:v>超夢</x:v>
      </x:c>
      <x:c r="D186" s="29" t="str">
        <x:v>PSA 9</x:v>
      </x:c>
      <x:c r="E186" s="29" t="str">
        <x:v>PSA</x:v>
      </x:c>
      <x:c r="F186" s="30" t="n">
        <x:v>576</x:v>
      </x:c>
      <x:c r="G186" s="30" t="n">
        <x:v>576</x:v>
      </x:c>
      <x:c r="H186" s="29" t="str">
        <x:v>$576</x:v>
      </x:c>
      <x:c r="I186" s="31" t="n">
        <x:f>ROUND(G186*J186,0)</x:f>
        <x:v>18605</x:v>
      </x:c>
      <x:c r="J186" s="32" t="n">
        <x:v>32.3</x:v>
      </x:c>
      <x:c r="K186" s="29" t="str">
        <x:v>Auction</x:v>
      </x:c>
      <x:c r="L186" s="29" t="str">
        <x:v>Fanatics</x:v>
      </x:c>
      <x:c r="M186" s="33" t="str">
        <x:v>https://www.fanaticscollect.com/weekly/f84b04ee-ecff-11ee-aa86-0646c7118d15</x:v>
      </x:c>
    </x:row>
    <x:row r="187">
      <x:c r="A187" s="28" t="n">
        <x:v>45403</x:v>
      </x:c>
      <x:c r="B187" s="29" t="str">
        <x:v>Nidoking</x:v>
      </x:c>
      <x:c r="C187" s="29" t="str">
        <x:v>尼多王</x:v>
      </x:c>
      <x:c r="D187" s="29" t="str">
        <x:v>PSA 9</x:v>
      </x:c>
      <x:c r="E187" s="29" t="str">
        <x:v>PSA</x:v>
      </x:c>
      <x:c r="F187" s="30" t="n">
        <x:v>222</x:v>
      </x:c>
      <x:c r="G187" s="30" t="n">
        <x:v>222</x:v>
      </x:c>
      <x:c r="H187" s="29" t="str">
        <x:v>$222</x:v>
      </x:c>
      <x:c r="I187" s="31" t="n">
        <x:f>ROUND(G187*J187,0)</x:f>
        <x:v>7171</x:v>
      </x:c>
      <x:c r="J187" s="32" t="n">
        <x:v>32.3</x:v>
      </x:c>
      <x:c r="K187" s="29" t="str">
        <x:v>Auction</x:v>
      </x:c>
      <x:c r="L187" s="29" t="str">
        <x:v>Fanatics</x:v>
      </x:c>
      <x:c r="M187" s="33" t="str">
        <x:v>https://www.fanaticscollect.com/weekly/f83fe726-ecff-11ee-ac95-0646c7118d15</x:v>
      </x:c>
    </x:row>
    <x:row r="188">
      <x:c r="A188" s="28" t="n">
        <x:v>45403</x:v>
      </x:c>
      <x:c r="B188" s="29" t="str">
        <x:v>Ninetales</x:v>
      </x:c>
      <x:c r="C188" s="29" t="str">
        <x:v>九尾</x:v>
      </x:c>
      <x:c r="D188" s="29" t="str">
        <x:v>PSA 8</x:v>
      </x:c>
      <x:c r="E188" s="29" t="str">
        <x:v>PSA</x:v>
      </x:c>
      <x:c r="F188" s="30" t="n">
        <x:v>112.8</x:v>
      </x:c>
      <x:c r="G188" s="30" t="n">
        <x:v>112.8</x:v>
      </x:c>
      <x:c r="H188" s="29" t="str">
        <x:v>$112.80</x:v>
      </x:c>
      <x:c r="I188" s="31" t="n">
        <x:f>ROUND(G188*J188,0)</x:f>
        <x:v>3643</x:v>
      </x:c>
      <x:c r="J188" s="32" t="n">
        <x:v>32.3</x:v>
      </x:c>
      <x:c r="K188" s="29" t="str">
        <x:v>Auction</x:v>
      </x:c>
      <x:c r="L188" s="29" t="str">
        <x:v>Fanatics</x:v>
      </x:c>
      <x:c r="M188" s="33" t="str">
        <x:v>https://www.fanaticscollect.com/weekly/f83f8a88-ecff-11ee-a10f-0646c7118d15</x:v>
      </x:c>
    </x:row>
    <x:row r="189">
      <x:c r="A189" s="28" t="n">
        <x:v>45403</x:v>
      </x:c>
      <x:c r="B189" s="29" t="str">
        <x:v>Poliwrath</x:v>
      </x:c>
      <x:c r="C189" s="29" t="str">
        <x:v>蚊香士</x:v>
      </x:c>
      <x:c r="D189" s="29" t="str">
        <x:v>PSA 9</x:v>
      </x:c>
      <x:c r="E189" s="29" t="str">
        <x:v>PSA</x:v>
      </x:c>
      <x:c r="F189" s="30" t="n">
        <x:v>198</x:v>
      </x:c>
      <x:c r="G189" s="30" t="n">
        <x:v>198</x:v>
      </x:c>
      <x:c r="H189" s="29" t="str">
        <x:v>$198</x:v>
      </x:c>
      <x:c r="I189" s="31" t="n">
        <x:f>ROUND(G189*J189,0)</x:f>
        <x:v>6395</x:v>
      </x:c>
      <x:c r="J189" s="32" t="n">
        <x:v>32.3</x:v>
      </x:c>
      <x:c r="K189" s="29" t="str">
        <x:v>Auction</x:v>
      </x:c>
      <x:c r="L189" s="29" t="str">
        <x:v>Fanatics</x:v>
      </x:c>
      <x:c r="M189" s="33" t="str">
        <x:v>https://www.fanaticscollect.com/weekly/f83f2de0-ecff-11ee-a409-0646c7118d15</x:v>
      </x:c>
    </x:row>
    <x:row r="190">
      <x:c r="A190" s="28" t="n">
        <x:v>45403</x:v>
      </x:c>
      <x:c r="B190" s="29" t="str">
        <x:v>Raichu</x:v>
      </x:c>
      <x:c r="C190" s="29" t="str">
        <x:v>雷丘</x:v>
      </x:c>
      <x:c r="D190" s="29" t="str">
        <x:v>PSA 9</x:v>
      </x:c>
      <x:c r="E190" s="29" t="str">
        <x:v>PSA</x:v>
      </x:c>
      <x:c r="F190" s="30" t="n">
        <x:v>300</x:v>
      </x:c>
      <x:c r="G190" s="30" t="n">
        <x:v>300</x:v>
      </x:c>
      <x:c r="H190" s="29" t="str">
        <x:v>$300</x:v>
      </x:c>
      <x:c r="I190" s="31" t="n">
        <x:f>ROUND(G190*J190,0)</x:f>
        <x:v>9690</x:v>
      </x:c>
      <x:c r="J190" s="32" t="n">
        <x:v>32.3</x:v>
      </x:c>
      <x:c r="K190" s="29" t="str">
        <x:v>Auction</x:v>
      </x:c>
      <x:c r="L190" s="29" t="str">
        <x:v>Fanatics</x:v>
      </x:c>
      <x:c r="M190" s="33" t="str">
        <x:v>https://www.fanaticscollect.com/weekly/f83ece36-ecff-11ee-82b5-0646c7118d15</x:v>
      </x:c>
    </x:row>
    <x:row r="191">
      <x:c r="A191" s="28" t="n">
        <x:v>45403</x:v>
      </x:c>
      <x:c r="B191" s="29" t="str">
        <x:v>Venusaur</x:v>
      </x:c>
      <x:c r="C191" s="29" t="str">
        <x:v>妙蛙花</x:v>
      </x:c>
      <x:c r="D191" s="29" t="str">
        <x:v>PSA 9</x:v>
      </x:c>
      <x:c r="E191" s="29" t="str">
        <x:v>PSA</x:v>
      </x:c>
      <x:c r="F191" s="30" t="n">
        <x:v>660</x:v>
      </x:c>
      <x:c r="G191" s="30" t="n">
        <x:v>660</x:v>
      </x:c>
      <x:c r="H191" s="29" t="str">
        <x:v>$660</x:v>
      </x:c>
      <x:c r="I191" s="31" t="n">
        <x:f>ROUND(G191*J191,0)</x:f>
        <x:v>21318</x:v>
      </x:c>
      <x:c r="J191" s="32" t="n">
        <x:v>32.3</x:v>
      </x:c>
      <x:c r="K191" s="29" t="str">
        <x:v>Auction</x:v>
      </x:c>
      <x:c r="L191" s="29" t="str">
        <x:v>Fanatics</x:v>
      </x:c>
      <x:c r="M191" s="33" t="str">
        <x:v>https://www.fanaticscollect.com/weekly/f83e6900-ecff-11ee-beee-0646c7118d15</x:v>
      </x:c>
    </x:row>
    <x:row r="192">
      <x:c r="A192" s="28" t="n">
        <x:v>45403</x:v>
      </x:c>
      <x:c r="B192" s="29" t="str">
        <x:v>Zapdos</x:v>
      </x:c>
      <x:c r="C192" s="29" t="str">
        <x:v>閃電鳥</x:v>
      </x:c>
      <x:c r="D192" s="29" t="str">
        <x:v>PSA 9</x:v>
      </x:c>
      <x:c r="E192" s="29" t="str">
        <x:v>PSA</x:v>
      </x:c>
      <x:c r="F192" s="30" t="n">
        <x:v>252</x:v>
      </x:c>
      <x:c r="G192" s="30" t="n">
        <x:v>252</x:v>
      </x:c>
      <x:c r="H192" s="29" t="str">
        <x:v>$252</x:v>
      </x:c>
      <x:c r="I192" s="31" t="n">
        <x:f>ROUND(G192*J192,0)</x:f>
        <x:v>8140</x:v>
      </x:c>
      <x:c r="J192" s="32" t="n">
        <x:v>32.3</x:v>
      </x:c>
      <x:c r="K192" s="29" t="str">
        <x:v>Auction</x:v>
      </x:c>
      <x:c r="L192" s="29" t="str">
        <x:v>Fanatics</x:v>
      </x:c>
      <x:c r="M192" s="33" t="str">
        <x:v>https://www.fanaticscollect.com/weekly/f83e0b90-ecff-11ee-bd6f-0646c7118d15</x:v>
      </x:c>
    </x:row>
    <x:row r="193">
      <x:c r="A193" s="28" t="n">
        <x:v>45375</x:v>
      </x:c>
      <x:c r="B193" s="29" t="str">
        <x:v>Charmander</x:v>
      </x:c>
      <x:c r="C193" s="29" t="str">
        <x:v>小火龍</x:v>
      </x:c>
      <x:c r="D193" s="29" t="str">
        <x:v>CGC 8.5</x:v>
      </x:c>
      <x:c r="E193" s="29" t="str">
        <x:v>CGC</x:v>
      </x:c>
      <x:c r="F193" s="30" t="n">
        <x:v>19.2</x:v>
      </x:c>
      <x:c r="G193" s="30" t="n">
        <x:v>19.2</x:v>
      </x:c>
      <x:c r="H193" s="29" t="str">
        <x:v>$19.20</x:v>
      </x:c>
      <x:c r="I193" s="31" t="n">
        <x:f>ROUND(G193*J193,0)</x:f>
        <x:v>620</x:v>
      </x:c>
      <x:c r="J193" s="32" t="n">
        <x:v>32.3</x:v>
      </x:c>
      <x:c r="K193" s="29" t="str">
        <x:v>Auction</x:v>
      </x:c>
      <x:c r="L193" s="29" t="str">
        <x:v>Fanatics</x:v>
      </x:c>
      <x:c r="M193" s="33" t="str">
        <x:v>https://www.fanaticscollect.com/weekly/20e2b2c2-dd73-11ee-9b0c-0a58a9feac02</x:v>
      </x:c>
    </x:row>
    <x:row r="194">
      <x:c r="A194" s="28" t="n">
        <x:v>45361</x:v>
      </x:c>
      <x:c r="B194" s="29" t="str">
        <x:v>Charmander</x:v>
      </x:c>
      <x:c r="C194" s="29" t="str">
        <x:v>小火龍</x:v>
      </x:c>
      <x:c r="D194" s="29" t="str">
        <x:v>CGC 9</x:v>
      </x:c>
      <x:c r="E194" s="29" t="str">
        <x:v>CGC</x:v>
      </x:c>
      <x:c r="F194" s="30" t="n">
        <x:v>19.2</x:v>
      </x:c>
      <x:c r="G194" s="30" t="n">
        <x:v>19.2</x:v>
      </x:c>
      <x:c r="H194" s="29" t="str">
        <x:v>$19.20</x:v>
      </x:c>
      <x:c r="I194" s="31" t="n">
        <x:f>ROUND(G194*J194,0)</x:f>
        <x:v>620</x:v>
      </x:c>
      <x:c r="J194" s="32" t="n">
        <x:v>32.3</x:v>
      </x:c>
      <x:c r="K194" s="29" t="str">
        <x:v>Auction</x:v>
      </x:c>
      <x:c r="L194" s="29" t="str">
        <x:v>Fanatics</x:v>
      </x:c>
      <x:c r="M194" s="33" t="str">
        <x:v>https://www.fanaticscollect.com/weekly/ba7ed1a8-d513-11ee-b305-06caa0bee9bf</x:v>
      </x:c>
    </x:row>
    <x:row r="195">
      <x:c r="A195" s="28" t="n">
        <x:v>45361</x:v>
      </x:c>
      <x:c r="B195" s="29" t="str">
        <x:v>Magikarp</x:v>
      </x:c>
      <x:c r="C195" s="29" t="str">
        <x:v>鯉魚王</x:v>
      </x:c>
      <x:c r="D195" s="29" t="str">
        <x:v>CGC 9</x:v>
      </x:c>
      <x:c r="E195" s="29" t="str">
        <x:v>CGC</x:v>
      </x:c>
      <x:c r="F195" s="30" t="n">
        <x:v>13.2</x:v>
      </x:c>
      <x:c r="G195" s="30" t="n">
        <x:v>13.2</x:v>
      </x:c>
      <x:c r="H195" s="29" t="str">
        <x:v>$13.20</x:v>
      </x:c>
      <x:c r="I195" s="31" t="n">
        <x:f>ROUND(G195*J195,0)</x:f>
        <x:v>426</x:v>
      </x:c>
      <x:c r="J195" s="32" t="n">
        <x:v>32.3</x:v>
      </x:c>
      <x:c r="K195" s="29" t="str">
        <x:v>Auction</x:v>
      </x:c>
      <x:c r="L195" s="29" t="str">
        <x:v>Fanatics</x:v>
      </x:c>
      <x:c r="M195" s="33" t="str">
        <x:v>https://www.fanaticscollect.com/weekly/abf5abf2-d513-11ee-af4e-06caa0bee9bf</x:v>
      </x:c>
    </x:row>
    <x:row r="196">
      <x:c r="A196" s="28" t="n">
        <x:v>45361</x:v>
      </x:c>
      <x:c r="B196" s="29" t="str">
        <x:v>Pikachu</x:v>
      </x:c>
      <x:c r="C196" s="29" t="str">
        <x:v>皮卡丘</x:v>
      </x:c>
      <x:c r="D196" s="29" t="str">
        <x:v>CGC 9.5</x:v>
      </x:c>
      <x:c r="E196" s="29" t="str">
        <x:v>CGC</x:v>
      </x:c>
      <x:c r="F196" s="30" t="n">
        <x:v>76.8</x:v>
      </x:c>
      <x:c r="G196" s="30" t="n">
        <x:v>76.8</x:v>
      </x:c>
      <x:c r="H196" s="29" t="str">
        <x:v>$76.80</x:v>
      </x:c>
      <x:c r="I196" s="31" t="n">
        <x:f>ROUND(G196*J196,0)</x:f>
        <x:v>2481</x:v>
      </x:c>
      <x:c r="J196" s="32" t="n">
        <x:v>32.3</x:v>
      </x:c>
      <x:c r="K196" s="29" t="str">
        <x:v>Auction</x:v>
      </x:c>
      <x:c r="L196" s="29" t="str">
        <x:v>Fanatics</x:v>
      </x:c>
      <x:c r="M196" s="33" t="str">
        <x:v>https://www.fanaticscollect.com/weekly/beaff6b2-d513-11ee-ab40-06caa0bee9bf</x:v>
      </x:c>
    </x:row>
    <x:row r="197">
      <x:c r="A197" s="28" t="n">
        <x:v>45333</x:v>
      </x:c>
      <x:c r="B197" s="29" t="str">
        <x:v>Bulbasaur</x:v>
      </x:c>
      <x:c r="C197" s="29" t="str">
        <x:v>妙蛙種子</x:v>
      </x:c>
      <x:c r="D197" s="29" t="str">
        <x:v>CGC 9</x:v>
      </x:c>
      <x:c r="E197" s="29" t="str">
        <x:v>CGC</x:v>
      </x:c>
      <x:c r="F197" s="30" t="n">
        <x:v>84</x:v>
      </x:c>
      <x:c r="G197" s="30" t="n">
        <x:v>84</x:v>
      </x:c>
      <x:c r="H197" s="29" t="str">
        <x:v>$84</x:v>
      </x:c>
      <x:c r="I197" s="31" t="n">
        <x:f>ROUND(G197*J197,0)</x:f>
        <x:v>2713</x:v>
      </x:c>
      <x:c r="J197" s="32" t="n">
        <x:v>32.3</x:v>
      </x:c>
      <x:c r="K197" s="29" t="str">
        <x:v>Auction</x:v>
      </x:c>
      <x:c r="L197" s="29" t="str">
        <x:v>Fanatics</x:v>
      </x:c>
      <x:c r="M197" s="33" t="str">
        <x:v>https://www.fanaticscollect.com/weekly/be7a8e9c-befb-11ee-8875-0a58a9feac02</x:v>
      </x:c>
    </x:row>
    <x:row r="198">
      <x:c r="A198" s="28" t="n">
        <x:v>45305</x:v>
      </x:c>
      <x:c r="B198" s="29" t="str">
        <x:v>Charmander</x:v>
      </x:c>
      <x:c r="C198" s="29" t="str">
        <x:v>小火龍</x:v>
      </x:c>
      <x:c r="D198" s="29" t="str">
        <x:v>PSA 8</x:v>
      </x:c>
      <x:c r="E198" s="29" t="str">
        <x:v>PSA</x:v>
      </x:c>
      <x:c r="F198" s="30" t="n">
        <x:v>27.6</x:v>
      </x:c>
      <x:c r="G198" s="30" t="n">
        <x:v>27.6</x:v>
      </x:c>
      <x:c r="H198" s="29" t="str">
        <x:v>$27.60</x:v>
      </x:c>
      <x:c r="I198" s="31" t="n">
        <x:f>ROUND(G198*J198,0)</x:f>
        <x:v>891</x:v>
      </x:c>
      <x:c r="J198" s="32" t="n">
        <x:v>32.3</x:v>
      </x:c>
      <x:c r="K198" s="29" t="str">
        <x:v>Auction</x:v>
      </x:c>
      <x:c r="L198" s="29" t="str">
        <x:v>Fanatics</x:v>
      </x:c>
      <x:c r="M198" s="33" t="str">
        <x:v>https://www.fanaticscollect.com/weekly/d9192710-ab35-11ee-ad44-0af614176b57</x:v>
      </x:c>
    </x:row>
    <x:row r="199">
      <x:c r="A199" s="28" t="n">
        <x:v>45305</x:v>
      </x:c>
      <x:c r="B199" s="29" t="str">
        <x:v>Squirtle</x:v>
      </x:c>
      <x:c r="C199" s="29" t="str">
        <x:v>傑尼龜</x:v>
      </x:c>
      <x:c r="D199" s="29" t="str">
        <x:v>PSA 9</x:v>
      </x:c>
      <x:c r="E199" s="29" t="str">
        <x:v>PSA</x:v>
      </x:c>
      <x:c r="F199" s="30" t="n">
        <x:v>56.4</x:v>
      </x:c>
      <x:c r="G199" s="30" t="n">
        <x:v>56.4</x:v>
      </x:c>
      <x:c r="H199" s="29" t="str">
        <x:v>$56.40</x:v>
      </x:c>
      <x:c r="I199" s="31" t="n">
        <x:f>ROUND(G199*J199,0)</x:f>
        <x:v>1822</x:v>
      </x:c>
      <x:c r="J199" s="32" t="n">
        <x:v>32.3</x:v>
      </x:c>
      <x:c r="K199" s="29" t="str">
        <x:v>Auction</x:v>
      </x:c>
      <x:c r="L199" s="29" t="str">
        <x:v>Fanatics</x:v>
      </x:c>
      <x:c r="M199" s="33" t="str">
        <x:v>https://www.fanaticscollect.com/weekly/d899acb0-ab35-11ee-bf8f-0af614176b57</x:v>
      </x:c>
    </x:row>
    <x:row r="200">
      <x:c r="A200" s="28" t="n">
        <x:v>45270</x:v>
      </x:c>
      <x:c r="B200" s="29" t="str">
        <x:v>Nidoking</x:v>
      </x:c>
      <x:c r="C200" s="29" t="str">
        <x:v>尼多王</x:v>
      </x:c>
      <x:c r="D200" s="29" t="str">
        <x:v>CGC 4</x:v>
      </x:c>
      <x:c r="E200" s="29" t="str">
        <x:v>CGC</x:v>
      </x:c>
      <x:c r="F200" s="30" t="n">
        <x:v>44.4</x:v>
      </x:c>
      <x:c r="G200" s="30" t="n">
        <x:v>44.4</x:v>
      </x:c>
      <x:c r="H200" s="29" t="str">
        <x:v>$44.40</x:v>
      </x:c>
      <x:c r="I200" s="31" t="n">
        <x:f>ROUND(G200*J200,0)</x:f>
        <x:v>1434</x:v>
      </x:c>
      <x:c r="J200" s="32" t="n">
        <x:v>32.3</x:v>
      </x:c>
      <x:c r="K200" s="29" t="str">
        <x:v>Auction</x:v>
      </x:c>
      <x:c r="L200" s="29" t="str">
        <x:v>Fanatics</x:v>
      </x:c>
      <x:c r="M200" s="33" t="str">
        <x:v>https://www.fanaticscollect.com/weekly/1a9fe0ea-83c5-11ee-8668-0a58a9feac02</x:v>
      </x:c>
    </x:row>
    <x:row r="201">
      <x:c r="A201" s="28" t="n">
        <x:v>45253</x:v>
      </x:c>
      <x:c r="B201" s="29" t="str">
        <x:v>Charmander</x:v>
      </x:c>
      <x:c r="C201" s="29" t="str">
        <x:v>小火龍</x:v>
      </x:c>
      <x:c r="D201" s="29" t="str">
        <x:v>PSA 10</x:v>
      </x:c>
      <x:c r="E201" s="29" t="str">
        <x:v>PSA</x:v>
      </x:c>
      <x:c r="F201" s="30" t="n">
        <x:v>600</x:v>
      </x:c>
      <x:c r="G201" s="30" t="n">
        <x:v>600</x:v>
      </x:c>
      <x:c r="H201" s="29" t="str">
        <x:v>$600</x:v>
      </x:c>
      <x:c r="I201" s="31" t="n">
        <x:f>ROUND(G201*J201,0)</x:f>
        <x:v>19380</x:v>
      </x:c>
      <x:c r="J201" s="32" t="n">
        <x:v>32.3</x:v>
      </x:c>
      <x:c r="K201" s="29" t="str">
        <x:v>Buy Now</x:v>
      </x:c>
      <x:c r="L201" s="29" t="str">
        <x:v>Fanatics</x:v>
      </x:c>
      <x:c r="M201" s="33" t="str">
        <x:v>https://www.fanaticscollect.com/fixed/92d76bba-83e2-11ee-a698-02b711e6ff19</x:v>
      </x:c>
    </x:row>
    <x:row r="202">
      <x:c r="A202" s="28" t="n">
        <x:v>45249</x:v>
      </x:c>
      <x:c r="B202" s="29" t="str">
        <x:v>Charizard</x:v>
      </x:c>
      <x:c r="C202" s="29" t="str">
        <x:v>噴火龍</x:v>
      </x:c>
      <x:c r="D202" s="29" t="str">
        <x:v>PSA 8</x:v>
      </x:c>
      <x:c r="E202" s="29" t="str">
        <x:v>PSA</x:v>
      </x:c>
      <x:c r="F202" s="30" t="n">
        <x:v>1680</x:v>
      </x:c>
      <x:c r="G202" s="30" t="n">
        <x:v>1680</x:v>
      </x:c>
      <x:c r="H202" s="29" t="str">
        <x:v>$1,680</x:v>
      </x:c>
      <x:c r="I202" s="31" t="n">
        <x:f>ROUND(G202*J202,0)</x:f>
        <x:v>54264</x:v>
      </x:c>
      <x:c r="J202" s="32" t="n">
        <x:v>32.3</x:v>
      </x:c>
      <x:c r="K202" s="29" t="str">
        <x:v>Auction</x:v>
      </x:c>
      <x:c r="L202" s="29" t="str">
        <x:v>Fanatics</x:v>
      </x:c>
      <x:c r="M202" s="33" t="str">
        <x:v>https://www.fanaticscollect.com/weekly/0761ad12-7ced-11ee-aeaf-0a58a9feac02</x:v>
      </x:c>
    </x:row>
    <x:row r="203">
      <x:c r="A203" s="28" t="n">
        <x:v>45155</x:v>
      </x:c>
      <x:c r="B203" s="29" t="str">
        <x:v>Wartortle</x:v>
      </x:c>
      <x:c r="C203" s="29" t="str">
        <x:v>卡咪龜</x:v>
      </x:c>
      <x:c r="D203" s="29" t="str">
        <x:v>PSA 9</x:v>
      </x:c>
      <x:c r="E203" s="29" t="str">
        <x:v>PSA</x:v>
      </x:c>
      <x:c r="F203" s="30" t="n">
        <x:v>80</x:v>
      </x:c>
      <x:c r="G203" s="30" t="n">
        <x:v>80</x:v>
      </x:c>
      <x:c r="H203" s="29" t="str">
        <x:v>$80</x:v>
      </x:c>
      <x:c r="I203" s="31" t="n">
        <x:f>ROUND(G203*J203,0)</x:f>
        <x:v>2584</x:v>
      </x:c>
      <x:c r="J203" s="32" t="n">
        <x:v>32.3</x:v>
      </x:c>
      <x:c r="K203" s="29" t="str">
        <x:v>Buy Now</x:v>
      </x:c>
      <x:c r="L203" s="29" t="str">
        <x:v>Fanatics</x:v>
      </x:c>
      <x:c r="M203" s="33" t="str">
        <x:v>https://www.fanaticscollect.com/fixed/7162851e-8596-11ed-9a33-0a5a88780b2b</x:v>
      </x:c>
    </x:row>
    <x:row r="204">
      <x:c r="A204" s="28" t="n">
        <x:v>45151</x:v>
      </x:c>
      <x:c r="B204" s="29" t="str">
        <x:v>Alakazam</x:v>
      </x:c>
      <x:c r="C204" s="29" t="str">
        <x:v>胡地</x:v>
      </x:c>
      <x:c r="D204" s="29" t="str">
        <x:v>PSA 8</x:v>
      </x:c>
      <x:c r="E204" s="29" t="str">
        <x:v>PSA</x:v>
      </x:c>
      <x:c r="F204" s="30" t="n">
        <x:v>240</x:v>
      </x:c>
      <x:c r="G204" s="30" t="n">
        <x:v>240</x:v>
      </x:c>
      <x:c r="H204" s="29" t="str">
        <x:v>$240</x:v>
      </x:c>
      <x:c r="I204" s="31" t="n">
        <x:f>ROUND(G204*J204,0)</x:f>
        <x:v>7752</x:v>
      </x:c>
      <x:c r="J204" s="32" t="n">
        <x:v>32.3</x:v>
      </x:c>
      <x:c r="K204" s="29" t="str">
        <x:v>Auction</x:v>
      </x:c>
      <x:c r="L204" s="29" t="str">
        <x:v>Fanatics</x:v>
      </x:c>
      <x:c r="M204" s="33" t="str">
        <x:v>https://www.fanaticscollect.com/weekly/2af9d49c-3068-11ee-bcc3-0a0499cdfef5</x:v>
      </x:c>
    </x:row>
    <x:row r="205">
      <x:c r="A205" s="28" t="n">
        <x:v>45151</x:v>
      </x:c>
      <x:c r="B205" s="29" t="str">
        <x:v>Blastoise</x:v>
      </x:c>
      <x:c r="C205" s="29" t="str">
        <x:v>水箭龜</x:v>
      </x:c>
      <x:c r="D205" s="29" t="str">
        <x:v>PSA 9</x:v>
      </x:c>
      <x:c r="E205" s="29" t="str">
        <x:v>PSA</x:v>
      </x:c>
      <x:c r="F205" s="30" t="n">
        <x:v>1200</x:v>
      </x:c>
      <x:c r="G205" s="30" t="n">
        <x:v>1200</x:v>
      </x:c>
      <x:c r="H205" s="29" t="str">
        <x:v>$1,200</x:v>
      </x:c>
      <x:c r="I205" s="31" t="n">
        <x:f>ROUND(G205*J205,0)</x:f>
        <x:v>38760</x:v>
      </x:c>
      <x:c r="J205" s="32" t="n">
        <x:v>32.3</x:v>
      </x:c>
      <x:c r="K205" s="29" t="str">
        <x:v>Auction</x:v>
      </x:c>
      <x:c r="L205" s="29" t="str">
        <x:v>Fanatics</x:v>
      </x:c>
      <x:c r="M205" s="33" t="str">
        <x:v>https://www.fanaticscollect.com/weekly/29a68a54-3068-11ee-aa0b-0a0499cdfef5</x:v>
      </x:c>
    </x:row>
    <x:row r="206">
      <x:c r="A206" s="28" t="n">
        <x:v>45151</x:v>
      </x:c>
      <x:c r="B206" s="29" t="str">
        <x:v>Chansey</x:v>
      </x:c>
      <x:c r="C206" s="29" t="str">
        <x:v>吉利蛋</x:v>
      </x:c>
      <x:c r="D206" s="29" t="str">
        <x:v>PSA 8</x:v>
      </x:c>
      <x:c r="E206" s="29" t="str">
        <x:v>PSA</x:v>
      </x:c>
      <x:c r="F206" s="30" t="n">
        <x:v>198</x:v>
      </x:c>
      <x:c r="G206" s="30" t="n">
        <x:v>198</x:v>
      </x:c>
      <x:c r="H206" s="29" t="str">
        <x:v>$198</x:v>
      </x:c>
      <x:c r="I206" s="31" t="n">
        <x:f>ROUND(G206*J206,0)</x:f>
        <x:v>6395</x:v>
      </x:c>
      <x:c r="J206" s="32" t="n">
        <x:v>32.3</x:v>
      </x:c>
      <x:c r="K206" s="29" t="str">
        <x:v>Auction</x:v>
      </x:c>
      <x:c r="L206" s="29" t="str">
        <x:v>Fanatics</x:v>
      </x:c>
      <x:c r="M206" s="33" t="str">
        <x:v>https://www.fanaticscollect.com/weekly/2b9ffb38-3068-11ee-9976-0a0499cdfef5</x:v>
      </x:c>
    </x:row>
    <x:row r="207">
      <x:c r="A207" s="28" t="n">
        <x:v>45151</x:v>
      </x:c>
      <x:c r="B207" s="29" t="str">
        <x:v>Magneton</x:v>
      </x:c>
      <x:c r="C207" s="29" t="str">
        <x:v>三磁怪</x:v>
      </x:c>
      <x:c r="D207" s="29" t="str">
        <x:v>PSA 8</x:v>
      </x:c>
      <x:c r="E207" s="29" t="str">
        <x:v>PSA</x:v>
      </x:c>
      <x:c r="F207" s="30" t="n">
        <x:v>112.8</x:v>
      </x:c>
      <x:c r="G207" s="30" t="n">
        <x:v>112.8</x:v>
      </x:c>
      <x:c r="H207" s="29" t="str">
        <x:v>$112.80</x:v>
      </x:c>
      <x:c r="I207" s="31" t="n">
        <x:f>ROUND(G207*J207,0)</x:f>
        <x:v>3643</x:v>
      </x:c>
      <x:c r="J207" s="32" t="n">
        <x:v>32.3</x:v>
      </x:c>
      <x:c r="K207" s="29" t="str">
        <x:v>Auction</x:v>
      </x:c>
      <x:c r="L207" s="29" t="str">
        <x:v>Fanatics</x:v>
      </x:c>
      <x:c r="M207" s="33" t="str">
        <x:v>https://www.fanaticscollect.com/weekly/2a4cfb8c-3068-11ee-bb5d-0a0499cdfef5</x:v>
      </x:c>
    </x:row>
    <x:row r="208">
      <x:c r="A208" s="28" t="n">
        <x:v>45151</x:v>
      </x:c>
      <x:c r="B208" s="29" t="str">
        <x:v>Poliwrath</x:v>
      </x:c>
      <x:c r="C208" s="29" t="str">
        <x:v>蚊香士</x:v>
      </x:c>
      <x:c r="D208" s="29" t="str">
        <x:v>PSA 9</x:v>
      </x:c>
      <x:c r="E208" s="29" t="str">
        <x:v>PSA</x:v>
      </x:c>
      <x:c r="F208" s="30" t="n">
        <x:v>300</x:v>
      </x:c>
      <x:c r="G208" s="30" t="n">
        <x:v>300</x:v>
      </x:c>
      <x:c r="H208" s="29" t="str">
        <x:v>$300</x:v>
      </x:c>
      <x:c r="I208" s="31" t="n">
        <x:f>ROUND(G208*J208,0)</x:f>
        <x:v>9690</x:v>
      </x:c>
      <x:c r="J208" s="32" t="n">
        <x:v>32.3</x:v>
      </x:c>
      <x:c r="K208" s="29" t="str">
        <x:v>Auction</x:v>
      </x:c>
      <x:c r="L208" s="29" t="str">
        <x:v>Fanatics</x:v>
      </x:c>
      <x:c r="M208" s="33" t="str">
        <x:v>https://www.fanaticscollect.com/weekly/29045798-3068-11ee-8a23-0a0499cdfef5</x:v>
      </x:c>
    </x:row>
    <x:row r="209">
      <x:c r="A209" s="28" t="n">
        <x:v>45151</x:v>
      </x:c>
      <x:c r="B209" s="29" t="str">
        <x:v>Poliwrath</x:v>
      </x:c>
      <x:c r="C209" s="29" t="str">
        <x:v>蚊香士</x:v>
      </x:c>
      <x:c r="D209" s="29" t="str">
        <x:v>PSA 9</x:v>
      </x:c>
      <x:c r="E209" s="29" t="str">
        <x:v>PSA</x:v>
      </x:c>
      <x:c r="F209" s="30" t="n">
        <x:v>288</x:v>
      </x:c>
      <x:c r="G209" s="30" t="n">
        <x:v>288</x:v>
      </x:c>
      <x:c r="H209" s="29" t="str">
        <x:v>$288</x:v>
      </x:c>
      <x:c r="I209" s="31" t="n">
        <x:f>ROUND(G209*J209,0)</x:f>
        <x:v>9302</x:v>
      </x:c>
      <x:c r="J209" s="32" t="n">
        <x:v>32.3</x:v>
      </x:c>
      <x:c r="K209" s="29" t="str">
        <x:v>Auction</x:v>
      </x:c>
      <x:c r="L209" s="29" t="str">
        <x:v>Fanatics</x:v>
      </x:c>
      <x:c r="M209" s="33" t="str">
        <x:v>https://www.fanaticscollect.com/weekly/82dfd6ae-2571-11ee-85ab-0a58a9feac02</x:v>
      </x:c>
    </x:row>
    <x:row r="210">
      <x:c r="A210" s="28" t="n">
        <x:v>45151</x:v>
      </x:c>
      <x:c r="B210" s="29" t="str">
        <x:v>Zapdos</x:v>
      </x:c>
      <x:c r="C210" s="29" t="str">
        <x:v>閃電鳥</x:v>
      </x:c>
      <x:c r="D210" s="29" t="str">
        <x:v>PSA 8</x:v>
      </x:c>
      <x:c r="E210" s="29" t="str">
        <x:v>PSA</x:v>
      </x:c>
      <x:c r="F210" s="30" t="n">
        <x:v>174</x:v>
      </x:c>
      <x:c r="G210" s="30" t="n">
        <x:v>174</x:v>
      </x:c>
      <x:c r="H210" s="29" t="str">
        <x:v>$174</x:v>
      </x:c>
      <x:c r="I210" s="31" t="n">
        <x:f>ROUND(G210*J210,0)</x:f>
        <x:v>5620</x:v>
      </x:c>
      <x:c r="J210" s="32" t="n">
        <x:v>32.3</x:v>
      </x:c>
      <x:c r="K210" s="29" t="str">
        <x:v>Auction</x:v>
      </x:c>
      <x:c r="L210" s="29" t="str">
        <x:v>Fanatics</x:v>
      </x:c>
      <x:c r="M210" s="33" t="str">
        <x:v>https://www.fanaticscollect.com/weekly/6e2bc5fa-22cf-11ee-b90b-02960c628fc7</x:v>
      </x:c>
    </x:row>
    <x:row r="211">
      <x:c r="A211" s="28" t="n">
        <x:v>45144</x:v>
      </x:c>
      <x:c r="B211" s="29" t="str">
        <x:v>Alakazam</x:v>
      </x:c>
      <x:c r="C211" s="29" t="str">
        <x:v>胡地</x:v>
      </x:c>
      <x:c r="D211" s="29" t="str">
        <x:v>PSA 8</x:v>
      </x:c>
      <x:c r="E211" s="29" t="str">
        <x:v>PSA</x:v>
      </x:c>
      <x:c r="F211" s="30" t="n">
        <x:v>216</x:v>
      </x:c>
      <x:c r="G211" s="30" t="n">
        <x:v>216</x:v>
      </x:c>
      <x:c r="H211" s="29" t="str">
        <x:v>$216</x:v>
      </x:c>
      <x:c r="I211" s="31" t="n">
        <x:f>ROUND(G211*J211,0)</x:f>
        <x:v>6977</x:v>
      </x:c>
      <x:c r="J211" s="32" t="n">
        <x:v>32.3</x:v>
      </x:c>
      <x:c r="K211" s="29" t="str">
        <x:v>Auction</x:v>
      </x:c>
      <x:c r="L211" s="29" t="str">
        <x:v>Fanatics</x:v>
      </x:c>
      <x:c r="M211" s="33" t="str">
        <x:v>https://www.fanaticscollect.com/weekly/6e332700-22cf-11ee-b7e2-02960c628fc7</x:v>
      </x:c>
    </x:row>
    <x:row r="212">
      <x:c r="A212" s="28" t="n">
        <x:v>45144</x:v>
      </x:c>
      <x:c r="B212" s="29" t="str">
        <x:v>Blastoise</x:v>
      </x:c>
      <x:c r="C212" s="29" t="str">
        <x:v>水箭龜</x:v>
      </x:c>
      <x:c r="D212" s="29" t="str">
        <x:v>PSA 8</x:v>
      </x:c>
      <x:c r="E212" s="29" t="str">
        <x:v>PSA</x:v>
      </x:c>
      <x:c r="F212" s="30" t="n">
        <x:v>540</x:v>
      </x:c>
      <x:c r="G212" s="30" t="n">
        <x:v>540</x:v>
      </x:c>
      <x:c r="H212" s="29" t="str">
        <x:v>$540</x:v>
      </x:c>
      <x:c r="I212" s="31" t="n">
        <x:f>ROUND(G212*J212,0)</x:f>
        <x:v>17442</x:v>
      </x:c>
      <x:c r="J212" s="32" t="n">
        <x:v>32.3</x:v>
      </x:c>
      <x:c r="K212" s="29" t="str">
        <x:v>Auction</x:v>
      </x:c>
      <x:c r="L212" s="29" t="str">
        <x:v>Fanatics</x:v>
      </x:c>
      <x:c r="M212" s="33" t="str">
        <x:v>https://www.fanaticscollect.com/weekly/6e2f6552-22cf-11ee-b379-02960c628fc7</x:v>
      </x:c>
    </x:row>
    <x:row r="213">
      <x:c r="A213" s="28" t="n">
        <x:v>45144</x:v>
      </x:c>
      <x:c r="B213" s="29" t="str">
        <x:v>Chansey</x:v>
      </x:c>
      <x:c r="C213" s="29" t="str">
        <x:v>吉利蛋</x:v>
      </x:c>
      <x:c r="D213" s="29" t="str">
        <x:v>PSA 8</x:v>
      </x:c>
      <x:c r="E213" s="29" t="str">
        <x:v>PSA</x:v>
      </x:c>
      <x:c r="F213" s="30" t="n">
        <x:v>180</x:v>
      </x:c>
      <x:c r="G213" s="30" t="n">
        <x:v>180</x:v>
      </x:c>
      <x:c r="H213" s="29" t="str">
        <x:v>$180</x:v>
      </x:c>
      <x:c r="I213" s="31" t="n">
        <x:f>ROUND(G213*J213,0)</x:f>
        <x:v>5814</x:v>
      </x:c>
      <x:c r="J213" s="32" t="n">
        <x:v>32.3</x:v>
      </x:c>
      <x:c r="K213" s="29" t="str">
        <x:v>Auction</x:v>
      </x:c>
      <x:c r="L213" s="29" t="str">
        <x:v>Fanatics</x:v>
      </x:c>
      <x:c r="M213" s="33" t="str">
        <x:v>https://www.fanaticscollect.com/weekly/6e28148c-22cf-11ee-b4cb-02960c628fc7</x:v>
      </x:c>
    </x:row>
    <x:row r="214">
      <x:c r="A214" s="28" t="n">
        <x:v>45144</x:v>
      </x:c>
      <x:c r="B214" s="29" t="str">
        <x:v>Hitmonchan</x:v>
      </x:c>
      <x:c r="C214" s="29" t="str">
        <x:v>快拳郎</x:v>
      </x:c>
      <x:c r="D214" s="29" t="str">
        <x:v>PSA 8</x:v>
      </x:c>
      <x:c r="E214" s="29" t="str">
        <x:v>PSA</x:v>
      </x:c>
      <x:c r="F214" s="30" t="n">
        <x:v>150</x:v>
      </x:c>
      <x:c r="G214" s="30" t="n">
        <x:v>150</x:v>
      </x:c>
      <x:c r="H214" s="29" t="str">
        <x:v>$150</x:v>
      </x:c>
      <x:c r="I214" s="31" t="n">
        <x:f>ROUND(G214*J214,0)</x:f>
        <x:v>4845</x:v>
      </x:c>
      <x:c r="J214" s="32" t="n">
        <x:v>32.3</x:v>
      </x:c>
      <x:c r="K214" s="29" t="str">
        <x:v>Auction</x:v>
      </x:c>
      <x:c r="L214" s="29" t="str">
        <x:v>Fanatics</x:v>
      </x:c>
      <x:c r="M214" s="33" t="str">
        <x:v>https://www.fanaticscollect.com/weekly/6e2d98d0-22cf-11ee-be1e-02960c628fc7</x:v>
      </x:c>
    </x:row>
    <x:row r="215">
      <x:c r="A215" s="28" t="n">
        <x:v>45144</x:v>
      </x:c>
      <x:c r="B215" s="29" t="str">
        <x:v>Magneton</x:v>
      </x:c>
      <x:c r="C215" s="29" t="str">
        <x:v>三磁怪</x:v>
      </x:c>
      <x:c r="D215" s="29" t="str">
        <x:v>PSA 8</x:v>
      </x:c>
      <x:c r="E215" s="29" t="str">
        <x:v>PSA</x:v>
      </x:c>
      <x:c r="F215" s="30" t="n">
        <x:v>103.2</x:v>
      </x:c>
      <x:c r="G215" s="30" t="n">
        <x:v>103.2</x:v>
      </x:c>
      <x:c r="H215" s="29" t="str">
        <x:v>$103.20</x:v>
      </x:c>
      <x:c r="I215" s="31" t="n">
        <x:f>ROUND(G215*J215,0)</x:f>
        <x:v>3333</x:v>
      </x:c>
      <x:c r="J215" s="32" t="n">
        <x:v>32.3</x:v>
      </x:c>
      <x:c r="K215" s="29" t="str">
        <x:v>Auction</x:v>
      </x:c>
      <x:c r="L215" s="29" t="str">
        <x:v>Fanatics</x:v>
      </x:c>
      <x:c r="M215" s="33" t="str">
        <x:v>https://www.fanaticscollect.com/weekly/6e3148a4-22cf-11ee-b1af-02960c628fc7</x:v>
      </x:c>
    </x:row>
    <x:row r="216">
      <x:c r="A216" s="28" t="n">
        <x:v>45144</x:v>
      </x:c>
      <x:c r="B216" s="29" t="str">
        <x:v>Nidoking</x:v>
      </x:c>
      <x:c r="C216" s="29" t="str">
        <x:v>尼多王</x:v>
      </x:c>
      <x:c r="D216" s="29" t="str">
        <x:v>PSA 8.5</x:v>
      </x:c>
      <x:c r="E216" s="29" t="str">
        <x:v>PSA</x:v>
      </x:c>
      <x:c r="F216" s="30" t="n">
        <x:v>168</x:v>
      </x:c>
      <x:c r="G216" s="30" t="n">
        <x:v>168</x:v>
      </x:c>
      <x:c r="H216" s="29" t="str">
        <x:v>$168</x:v>
      </x:c>
      <x:c r="I216" s="31" t="n">
        <x:f>ROUND(G216*J216,0)</x:f>
        <x:v>5426</x:v>
      </x:c>
      <x:c r="J216" s="32" t="n">
        <x:v>32.3</x:v>
      </x:c>
      <x:c r="K216" s="29" t="str">
        <x:v>Auction</x:v>
      </x:c>
      <x:c r="L216" s="29" t="str">
        <x:v>Fanatics</x:v>
      </x:c>
      <x:c r="M216" s="33" t="str">
        <x:v>https://www.fanaticscollect.com/weekly/6e389d66-22cf-11ee-bf1b-02960c628fc7</x:v>
      </x:c>
    </x:row>
    <x:row r="217">
      <x:c r="A217" s="28" t="n">
        <x:v>45144</x:v>
      </x:c>
      <x:c r="B217" s="29" t="str">
        <x:v>Poliwrath</x:v>
      </x:c>
      <x:c r="C217" s="29" t="str">
        <x:v>蚊香士</x:v>
      </x:c>
      <x:c r="D217" s="29" t="str">
        <x:v>PSA 8</x:v>
      </x:c>
      <x:c r="E217" s="29" t="str">
        <x:v>PSA</x:v>
      </x:c>
      <x:c r="F217" s="30" t="n">
        <x:v>103.2</x:v>
      </x:c>
      <x:c r="G217" s="30" t="n">
        <x:v>103.2</x:v>
      </x:c>
      <x:c r="H217" s="29" t="str">
        <x:v>$103.20</x:v>
      </x:c>
      <x:c r="I217" s="31" t="n">
        <x:f>ROUND(G217*J217,0)</x:f>
        <x:v>3333</x:v>
      </x:c>
      <x:c r="J217" s="32" t="n">
        <x:v>32.3</x:v>
      </x:c>
      <x:c r="K217" s="29" t="str">
        <x:v>Auction</x:v>
      </x:c>
      <x:c r="L217" s="29" t="str">
        <x:v>Fanatics</x:v>
      </x:c>
      <x:c r="M217" s="33" t="str">
        <x:v>https://www.fanaticscollect.com/weekly/6e36ce82-22cf-11ee-b06f-02960c628fc7</x:v>
      </x:c>
    </x:row>
    <x:row r="218">
      <x:c r="A218" s="28" t="n">
        <x:v>45144</x:v>
      </x:c>
      <x:c r="B218" s="29" t="str">
        <x:v>Raichu</x:v>
      </x:c>
      <x:c r="C218" s="29" t="str">
        <x:v>雷丘</x:v>
      </x:c>
      <x:c r="D218" s="29" t="str">
        <x:v>PSA 8</x:v>
      </x:c>
      <x:c r="E218" s="29" t="str">
        <x:v>PSA</x:v>
      </x:c>
      <x:c r="F218" s="30" t="n">
        <x:v>162</x:v>
      </x:c>
      <x:c r="G218" s="30" t="n">
        <x:v>162</x:v>
      </x:c>
      <x:c r="H218" s="29" t="str">
        <x:v>$162</x:v>
      </x:c>
      <x:c r="I218" s="31" t="n">
        <x:f>ROUND(G218*J218,0)</x:f>
        <x:v>5233</x:v>
      </x:c>
      <x:c r="J218" s="32" t="n">
        <x:v>32.3</x:v>
      </x:c>
      <x:c r="K218" s="29" t="str">
        <x:v>Auction</x:v>
      </x:c>
      <x:c r="L218" s="29" t="str">
        <x:v>Fanatics</x:v>
      </x:c>
      <x:c r="M218" s="33" t="str">
        <x:v>https://www.fanaticscollect.com/weekly/6e34fba2-22cf-11ee-8d72-02960c628fc7</x:v>
      </x:c>
    </x:row>
    <x:row r="219">
      <x:c r="A219" s="28" t="n">
        <x:v>45144</x:v>
      </x:c>
      <x:c r="B219" s="29" t="str">
        <x:v>Zapdos</x:v>
      </x:c>
      <x:c r="C219" s="29" t="str">
        <x:v>閃電鳥</x:v>
      </x:c>
      <x:c r="D219" s="29" t="str">
        <x:v>PSA 8</x:v>
      </x:c>
      <x:c r="E219" s="29" t="str">
        <x:v>PSA</x:v>
      </x:c>
      <x:c r="F219" s="30" t="n">
        <x:v>162</x:v>
      </x:c>
      <x:c r="G219" s="30" t="n">
        <x:v>162</x:v>
      </x:c>
      <x:c r="H219" s="29" t="str">
        <x:v>$162</x:v>
      </x:c>
      <x:c r="I219" s="31" t="n">
        <x:f>ROUND(G219*J219,0)</x:f>
        <x:v>5233</x:v>
      </x:c>
      <x:c r="J219" s="32" t="n">
        <x:v>32.3</x:v>
      </x:c>
      <x:c r="K219" s="29" t="str">
        <x:v>Auction</x:v>
      </x:c>
      <x:c r="L219" s="29" t="str">
        <x:v>Fanatics</x:v>
      </x:c>
      <x:c r="M219" s="33" t="str">
        <x:v>https://www.fanaticscollect.com/weekly/6e29f838-22cf-11ee-8a97-02960c628fc7</x:v>
      </x:c>
    </x:row>
    <x:row r="220">
      <x:c r="A220" s="28" t="n">
        <x:v>45142</x:v>
      </x:c>
      <x:c r="B220" s="29" t="str">
        <x:v>Pikachu</x:v>
      </x:c>
      <x:c r="C220" s="29" t="str">
        <x:v>皮卡丘</x:v>
      </x:c>
      <x:c r="D220" s="29" t="str">
        <x:v>PSA 6</x:v>
      </x:c>
      <x:c r="E220" s="29" t="str">
        <x:v>PSA</x:v>
      </x:c>
      <x:c r="F220" s="30" t="n">
        <x:v>55</x:v>
      </x:c>
      <x:c r="G220" s="30" t="n">
        <x:v>55</x:v>
      </x:c>
      <x:c r="H220" s="29" t="str">
        <x:v>$55</x:v>
      </x:c>
      <x:c r="I220" s="31" t="n">
        <x:f>ROUND(G220*J220,0)</x:f>
        <x:v>1776</x:v>
      </x:c>
      <x:c r="J220" s="32" t="n">
        <x:v>32.3</x:v>
      </x:c>
      <x:c r="K220" s="29" t="str">
        <x:v>Buy Now</x:v>
      </x:c>
      <x:c r="L220" s="29" t="str">
        <x:v>Fanatics</x:v>
      </x:c>
      <x:c r="M220" s="33" t="str">
        <x:v>https://www.fanaticscollect.com/fixed/f7590528-316f-11ee-9faf-0a58a9feac02</x:v>
      </x:c>
    </x:row>
    <x:row r="221">
      <x:c r="A221" s="28" t="n">
        <x:v>45095</x:v>
      </x:c>
      <x:c r="B221" s="29" t="str">
        <x:v>Zapdos</x:v>
      </x:c>
      <x:c r="C221" s="29" t="str">
        <x:v>閃電鳥</x:v>
      </x:c>
      <x:c r="D221" s="29" t="str">
        <x:v>PSA 9</x:v>
      </x:c>
      <x:c r="E221" s="29" t="str">
        <x:v>PSA</x:v>
      </x:c>
      <x:c r="F221" s="30" t="n">
        <x:v>504</x:v>
      </x:c>
      <x:c r="G221" s="30" t="n">
        <x:v>504</x:v>
      </x:c>
      <x:c r="H221" s="29" t="str">
        <x:v>$504</x:v>
      </x:c>
      <x:c r="I221" s="31" t="n">
        <x:f>ROUND(G221*J221,0)</x:f>
        <x:v>16279</x:v>
      </x:c>
      <x:c r="J221" s="32" t="n">
        <x:v>32.3</x:v>
      </x:c>
      <x:c r="K221" s="29" t="str">
        <x:v>Auction</x:v>
      </x:c>
      <x:c r="L221" s="29" t="str">
        <x:v>Fanatics</x:v>
      </x:c>
      <x:c r="M221" s="33" t="str">
        <x:v>https://www.fanaticscollect.com/weekly/e3065cf6-0352-11ee-b3db-0a0a169be585</x:v>
      </x:c>
    </x:row>
    <x:row r="222">
      <x:c r="A222" s="28" t="n">
        <x:v>45018</x:v>
      </x:c>
      <x:c r="B222" s="29" t="str">
        <x:v>Wartortle</x:v>
      </x:c>
      <x:c r="C222" s="29" t="str">
        <x:v>卡咪龜</x:v>
      </x:c>
      <x:c r="D222" s="29" t="str">
        <x:v>CGC 8.5</x:v>
      </x:c>
      <x:c r="E222" s="29" t="str">
        <x:v>CGC</x:v>
      </x:c>
      <x:c r="F222" s="30" t="n">
        <x:v>18</x:v>
      </x:c>
      <x:c r="G222" s="30" t="n">
        <x:v>18</x:v>
      </x:c>
      <x:c r="H222" s="29" t="str">
        <x:v>$18</x:v>
      </x:c>
      <x:c r="I222" s="31" t="n">
        <x:f>ROUND(G222*J222,0)</x:f>
        <x:v>581</x:v>
      </x:c>
      <x:c r="J222" s="32" t="n">
        <x:v>32.3</x:v>
      </x:c>
      <x:c r="K222" s="29" t="str">
        <x:v>Auction</x:v>
      </x:c>
      <x:c r="L222" s="29" t="str">
        <x:v>Fanatics</x:v>
      </x:c>
      <x:c r="M222" s="33" t="str">
        <x:v>https://www.fanaticscollect.com/weekly/8e125b0a-b2ee-11ed-b902-02ff6050fc7d</x:v>
      </x:c>
    </x:row>
    <x:row r="223">
      <x:c r="A223" s="28" t="n">
        <x:v>45018</x:v>
      </x:c>
      <x:c r="B223" s="29" t="str">
        <x:v>Wartortle</x:v>
      </x:c>
      <x:c r="C223" s="29" t="str">
        <x:v>卡咪龜</x:v>
      </x:c>
      <x:c r="D223" s="29" t="str">
        <x:v>CGC 9</x:v>
      </x:c>
      <x:c r="E223" s="29" t="str">
        <x:v>CGC</x:v>
      </x:c>
      <x:c r="F223" s="30" t="n">
        <x:v>33.6</x:v>
      </x:c>
      <x:c r="G223" s="30" t="n">
        <x:v>33.6</x:v>
      </x:c>
      <x:c r="H223" s="29" t="str">
        <x:v>$33.60</x:v>
      </x:c>
      <x:c r="I223" s="31" t="n">
        <x:f>ROUND(G223*J223,0)</x:f>
        <x:v>1085</x:v>
      </x:c>
      <x:c r="J223" s="32" t="n">
        <x:v>32.3</x:v>
      </x:c>
      <x:c r="K223" s="29" t="str">
        <x:v>Auction</x:v>
      </x:c>
      <x:c r="L223" s="29" t="str">
        <x:v>Fanatics</x:v>
      </x:c>
      <x:c r="M223" s="33" t="str">
        <x:v>https://www.fanaticscollect.com/weekly/8e4b7f98-b2ee-11ed-8b88-02ff6050fc7d</x:v>
      </x:c>
    </x:row>
    <x:row r="224">
      <x:c r="A224" s="28" t="n">
        <x:v>44969</x:v>
      </x:c>
      <x:c r="B224" s="29" t="str">
        <x:v>Charmeleon</x:v>
      </x:c>
      <x:c r="C224" s="29" t="str">
        <x:v>火恐龍</x:v>
      </x:c>
      <x:c r="D224" s="29" t="str">
        <x:v>PSA 9</x:v>
      </x:c>
      <x:c r="E224" s="29" t="str">
        <x:v>PSA</x:v>
      </x:c>
      <x:c r="F224" s="30" t="n">
        <x:v>110.4</x:v>
      </x:c>
      <x:c r="G224" s="30" t="n">
        <x:v>110.4</x:v>
      </x:c>
      <x:c r="H224" s="29" t="str">
        <x:v>$110.40</x:v>
      </x:c>
      <x:c r="I224" s="31" t="n">
        <x:f>ROUND(G224*J224,0)</x:f>
        <x:v>3566</x:v>
      </x:c>
      <x:c r="J224" s="32" t="n">
        <x:v>32.3</x:v>
      </x:c>
      <x:c r="K224" s="29" t="str">
        <x:v>Auction</x:v>
      </x:c>
      <x:c r="L224" s="29" t="str">
        <x:v>Fanatics</x:v>
      </x:c>
      <x:c r="M224" s="33" t="str">
        <x:v>https://www.fanaticscollect.com/weekly/106b1a4c-8d24-11ed-bc9b-065bc17b6135</x:v>
      </x:c>
    </x:row>
    <x:row r="225">
      <x:c r="A225" s="28" t="n">
        <x:v>44920</x:v>
      </x:c>
      <x:c r="B225" s="29" t="str">
        <x:v>Charmander</x:v>
      </x:c>
      <x:c r="C225" s="29" t="str">
        <x:v>小火龍</x:v>
      </x:c>
      <x:c r="D225" s="29" t="str">
        <x:v>PSA 8</x:v>
      </x:c>
      <x:c r="E225" s="29" t="str">
        <x:v>PSA</x:v>
      </x:c>
      <x:c r="F225" s="30" t="n">
        <x:v>31.2</x:v>
      </x:c>
      <x:c r="G225" s="30" t="n">
        <x:v>31.2</x:v>
      </x:c>
      <x:c r="H225" s="29" t="str">
        <x:v>$31.20</x:v>
      </x:c>
      <x:c r="I225" s="31" t="n">
        <x:f>ROUND(G225*J225,0)</x:f>
        <x:v>1008</x:v>
      </x:c>
      <x:c r="J225" s="32" t="n">
        <x:v>32.3</x:v>
      </x:c>
      <x:c r="K225" s="29" t="str">
        <x:v>Auction</x:v>
      </x:c>
      <x:c r="L225" s="29" t="str">
        <x:v>Fanatics</x:v>
      </x:c>
      <x:c r="M225" s="33" t="str">
        <x:v>https://www.fanaticscollect.com/weekly/4031b9d0-6f23-11ed-96dc-0a58a9feac02</x:v>
      </x:c>
    </x:row>
    <x:row r="226">
      <x:c r="A226" s="28" t="n">
        <x:v>44920</x:v>
      </x:c>
      <x:c r="B226" s="29" t="str">
        <x:v>Squirtle</x:v>
      </x:c>
      <x:c r="C226" s="29" t="str">
        <x:v>傑尼龜</x:v>
      </x:c>
      <x:c r="D226" s="29" t="str">
        <x:v>PSA 9</x:v>
      </x:c>
      <x:c r="E226" s="29" t="str">
        <x:v>PSA</x:v>
      </x:c>
      <x:c r="F226" s="30" t="n">
        <x:v>28.8</x:v>
      </x:c>
      <x:c r="G226" s="30" t="n">
        <x:v>28.8</x:v>
      </x:c>
      <x:c r="H226" s="29" t="str">
        <x:v>$28.80</x:v>
      </x:c>
      <x:c r="I226" s="31" t="n">
        <x:f>ROUND(G226*J226,0)</x:f>
        <x:v>930</x:v>
      </x:c>
      <x:c r="J226" s="32" t="n">
        <x:v>32.3</x:v>
      </x:c>
      <x:c r="K226" s="29" t="str">
        <x:v>Auction</x:v>
      </x:c>
      <x:c r="L226" s="29" t="str">
        <x:v>Fanatics</x:v>
      </x:c>
      <x:c r="M226" s="33" t="str">
        <x:v>https://www.fanaticscollect.com/weekly/4031aefe-6f23-11ed-a512-0a58a9feac02</x:v>
      </x:c>
    </x:row>
    <x:row r="227">
      <x:c r="A227" s="28" t="n">
        <x:v>44920</x:v>
      </x:c>
      <x:c r="B227" s="29" t="str">
        <x:v>Squirtle</x:v>
      </x:c>
      <x:c r="C227" s="29" t="str">
        <x:v>傑尼龜</x:v>
      </x:c>
      <x:c r="D227" s="29" t="str">
        <x:v>PSA 9</x:v>
      </x:c>
      <x:c r="E227" s="29" t="str">
        <x:v>PSA</x:v>
      </x:c>
      <x:c r="F227" s="30" t="n">
        <x:v>30</x:v>
      </x:c>
      <x:c r="G227" s="30" t="n">
        <x:v>30</x:v>
      </x:c>
      <x:c r="H227" s="29" t="str">
        <x:v>$30</x:v>
      </x:c>
      <x:c r="I227" s="31" t="n">
        <x:f>ROUND(G227*J227,0)</x:f>
        <x:v>969</x:v>
      </x:c>
      <x:c r="J227" s="32" t="n">
        <x:v>32.3</x:v>
      </x:c>
      <x:c r="K227" s="29" t="str">
        <x:v>Auction</x:v>
      </x:c>
      <x:c r="L227" s="29" t="str">
        <x:v>Fanatics</x:v>
      </x:c>
      <x:c r="M227" s="33" t="str">
        <x:v>https://www.fanaticscollect.com/weekly/4031b5a2-6f23-11ed-b59a-0a58a9feac02</x:v>
      </x:c>
    </x:row>
    <x:row r="228">
      <x:c r="A228" s="28" t="n">
        <x:v>44920</x:v>
      </x:c>
      <x:c r="B228" s="29" t="str">
        <x:v>Wartortle</x:v>
      </x:c>
      <x:c r="C228" s="29" t="str">
        <x:v>卡咪龜</x:v>
      </x:c>
      <x:c r="D228" s="29" t="str">
        <x:v>PSA 9</x:v>
      </x:c>
      <x:c r="E228" s="29" t="str">
        <x:v>PSA</x:v>
      </x:c>
      <x:c r="F228" s="30" t="n">
        <x:v>26.4</x:v>
      </x:c>
      <x:c r="G228" s="30" t="n">
        <x:v>26.4</x:v>
      </x:c>
      <x:c r="H228" s="29" t="str">
        <x:v>$26.40</x:v>
      </x:c>
      <x:c r="I228" s="31" t="n">
        <x:f>ROUND(G228*J228,0)</x:f>
        <x:v>853</x:v>
      </x:c>
      <x:c r="J228" s="32" t="n">
        <x:v>32.3</x:v>
      </x:c>
      <x:c r="K228" s="29" t="str">
        <x:v>Auction</x:v>
      </x:c>
      <x:c r="L228" s="29" t="str">
        <x:v>Fanatics</x:v>
      </x:c>
      <x:c r="M228" s="33" t="str">
        <x:v>https://www.fanaticscollect.com/weekly/4031ae2c-6f23-11ed-862e-0a58a9feac02</x:v>
      </x:c>
    </x:row>
    <x:row r="229">
      <x:c r="A229" s="28" t="n">
        <x:v>44913</x:v>
      </x:c>
      <x:c r="B229" s="29" t="str">
        <x:v>Charmander</x:v>
      </x:c>
      <x:c r="C229" s="29" t="str">
        <x:v>小火龍</x:v>
      </x:c>
      <x:c r="D229" s="29" t="str">
        <x:v>PSA 7</x:v>
      </x:c>
      <x:c r="E229" s="29" t="str">
        <x:v>PSA</x:v>
      </x:c>
      <x:c r="F229" s="30" t="n">
        <x:v>18</x:v>
      </x:c>
      <x:c r="G229" s="30" t="n">
        <x:v>18</x:v>
      </x:c>
      <x:c r="H229" s="29" t="str">
        <x:v>$18</x:v>
      </x:c>
      <x:c r="I229" s="31" t="n">
        <x:f>ROUND(G229*J229,0)</x:f>
        <x:v>581</x:v>
      </x:c>
      <x:c r="J229" s="32" t="n">
        <x:v>32.3</x:v>
      </x:c>
      <x:c r="K229" s="29" t="str">
        <x:v>Auction</x:v>
      </x:c>
      <x:c r="L229" s="29" t="str">
        <x:v>Fanatics</x:v>
      </x:c>
      <x:c r="M229" s="33" t="str">
        <x:v>https://www.fanaticscollect.com/weekly/40319a2c-6f23-11ed-96bc-0a58a9feac02</x:v>
      </x:c>
    </x:row>
    <x:row r="230">
      <x:c r="A230" s="28" t="n">
        <x:v>44913</x:v>
      </x:c>
      <x:c r="B230" s="29" t="str">
        <x:v>Charmander</x:v>
      </x:c>
      <x:c r="C230" s="29" t="str">
        <x:v>小火龍</x:v>
      </x:c>
      <x:c r="D230" s="29" t="str">
        <x:v>PSA 8</x:v>
      </x:c>
      <x:c r="E230" s="29" t="str">
        <x:v>PSA</x:v>
      </x:c>
      <x:c r="F230" s="30" t="n">
        <x:v>22.8</x:v>
      </x:c>
      <x:c r="G230" s="30" t="n">
        <x:v>22.8</x:v>
      </x:c>
      <x:c r="H230" s="29" t="str">
        <x:v>$22.80</x:v>
      </x:c>
      <x:c r="I230" s="31" t="n">
        <x:f>ROUND(G230*J230,0)</x:f>
        <x:v>736</x:v>
      </x:c>
      <x:c r="J230" s="32" t="n">
        <x:v>32.3</x:v>
      </x:c>
      <x:c r="K230" s="29" t="str">
        <x:v>Auction</x:v>
      </x:c>
      <x:c r="L230" s="29" t="str">
        <x:v>Fanatics</x:v>
      </x:c>
      <x:c r="M230" s="33" t="str">
        <x:v>https://www.fanaticscollect.com/weekly/4031b750-6f23-11ed-a5f7-0a58a9feac02</x:v>
      </x:c>
    </x:row>
    <x:row r="231">
      <x:c r="A231" s="28" t="n">
        <x:v>44913</x:v>
      </x:c>
      <x:c r="B231" s="29" t="str">
        <x:v>Pikachu</x:v>
      </x:c>
      <x:c r="C231" s="29" t="str">
        <x:v>皮卡丘</x:v>
      </x:c>
      <x:c r="D231" s="29" t="str">
        <x:v>PSA 6</x:v>
      </x:c>
      <x:c r="E231" s="29" t="str">
        <x:v>PSA</x:v>
      </x:c>
      <x:c r="F231" s="30" t="n">
        <x:v>19.2</x:v>
      </x:c>
      <x:c r="G231" s="30" t="n">
        <x:v>19.2</x:v>
      </x:c>
      <x:c r="H231" s="29" t="str">
        <x:v>$19.20</x:v>
      </x:c>
      <x:c r="I231" s="31" t="n">
        <x:f>ROUND(G231*J231,0)</x:f>
        <x:v>620</x:v>
      </x:c>
      <x:c r="J231" s="32" t="n">
        <x:v>32.3</x:v>
      </x:c>
      <x:c r="K231" s="29" t="str">
        <x:v>Auction</x:v>
      </x:c>
      <x:c r="L231" s="29" t="str">
        <x:v>Fanatics</x:v>
      </x:c>
      <x:c r="M231" s="33" t="str">
        <x:v>https://www.fanaticscollect.com/weekly/4031a350-6f23-11ed-88ef-0a58a9feac02</x:v>
      </x:c>
    </x:row>
    <x:row r="232">
      <x:c r="A232" s="28" t="n">
        <x:v>44913</x:v>
      </x:c>
      <x:c r="B232" s="29" t="str">
        <x:v>Squirtle</x:v>
      </x:c>
      <x:c r="C232" s="29" t="str">
        <x:v>傑尼龜</x:v>
      </x:c>
      <x:c r="D232" s="29" t="str">
        <x:v>PSA 9</x:v>
      </x:c>
      <x:c r="E232" s="29" t="str">
        <x:v>PSA</x:v>
      </x:c>
      <x:c r="F232" s="30" t="n">
        <x:v>40.8</x:v>
      </x:c>
      <x:c r="G232" s="30" t="n">
        <x:v>40.8</x:v>
      </x:c>
      <x:c r="H232" s="29" t="str">
        <x:v>$40.80</x:v>
      </x:c>
      <x:c r="I232" s="31" t="n">
        <x:f>ROUND(G232*J232,0)</x:f>
        <x:v>1318</x:v>
      </x:c>
      <x:c r="J232" s="32" t="n">
        <x:v>32.3</x:v>
      </x:c>
      <x:c r="K232" s="29" t="str">
        <x:v>Auction</x:v>
      </x:c>
      <x:c r="L232" s="29" t="str">
        <x:v>Fanatics</x:v>
      </x:c>
      <x:c r="M232" s="33" t="str">
        <x:v>https://www.fanaticscollect.com/weekly/4031995a-6f23-11ed-baf0-0a58a9feac02</x:v>
      </x:c>
    </x:row>
    <x:row r="233">
      <x:c r="A233" s="28" t="n">
        <x:v>44913</x:v>
      </x:c>
      <x:c r="B233" s="29" t="str">
        <x:v>Wartortle</x:v>
      </x:c>
      <x:c r="C233" s="29" t="str">
        <x:v>卡咪龜</x:v>
      </x:c>
      <x:c r="D233" s="29" t="str">
        <x:v>PSA 8</x:v>
      </x:c>
      <x:c r="E233" s="29" t="str">
        <x:v>PSA</x:v>
      </x:c>
      <x:c r="F233" s="30" t="n">
        <x:v>18</x:v>
      </x:c>
      <x:c r="G233" s="30" t="n">
        <x:v>18</x:v>
      </x:c>
      <x:c r="H233" s="29" t="str">
        <x:v>$18</x:v>
      </x:c>
      <x:c r="I233" s="31" t="n">
        <x:f>ROUND(G233*J233,0)</x:f>
        <x:v>581</x:v>
      </x:c>
      <x:c r="J233" s="32" t="n">
        <x:v>32.3</x:v>
      </x:c>
      <x:c r="K233" s="29" t="str">
        <x:v>Auction</x:v>
      </x:c>
      <x:c r="L233" s="29" t="str">
        <x:v>Fanatics</x:v>
      </x:c>
      <x:c r="M233" s="33" t="str">
        <x:v>https://www.fanaticscollect.com/weekly/40319cac-6f23-11ed-82d8-0a58a9feac02</x:v>
      </x:c>
    </x:row>
    <x:row r="234">
      <x:c r="A234" s="28" t="n">
        <x:v>44913</x:v>
      </x:c>
      <x:c r="B234" s="29" t="str">
        <x:v>Wartortle</x:v>
      </x:c>
      <x:c r="C234" s="29" t="str">
        <x:v>卡咪龜</x:v>
      </x:c>
      <x:c r="D234" s="29" t="str">
        <x:v>PSA 9</x:v>
      </x:c>
      <x:c r="E234" s="29" t="str">
        <x:v>PSA</x:v>
      </x:c>
      <x:c r="F234" s="30" t="n">
        <x:v>38.4</x:v>
      </x:c>
      <x:c r="G234" s="30" t="n">
        <x:v>38.4</x:v>
      </x:c>
      <x:c r="H234" s="29" t="str">
        <x:v>$38.40</x:v>
      </x:c>
      <x:c r="I234" s="31" t="n">
        <x:f>ROUND(G234*J234,0)</x:f>
        <x:v>1240</x:v>
      </x:c>
      <x:c r="J234" s="32" t="n">
        <x:v>32.3</x:v>
      </x:c>
      <x:c r="K234" s="29" t="str">
        <x:v>Auction</x:v>
      </x:c>
      <x:c r="L234" s="29" t="str">
        <x:v>Fanatics</x:v>
      </x:c>
      <x:c r="M234" s="33" t="str">
        <x:v>https://www.fanaticscollect.com/weekly/40318f5a-6f23-11ed-aa59-0a58a9feac02</x:v>
      </x:c>
    </x:row>
    <x:row r="235">
      <x:c r="A235" s="28" t="n">
        <x:v>44892</x:v>
      </x:c>
      <x:c r="B235" s="29" t="str">
        <x:v>Bulbasaur</x:v>
      </x:c>
      <x:c r="C235" s="29" t="str">
        <x:v>妙蛙種子</x:v>
      </x:c>
      <x:c r="D235" s="29" t="str">
        <x:v>PSA 9</x:v>
      </x:c>
      <x:c r="E235" s="29" t="str">
        <x:v>PSA</x:v>
      </x:c>
      <x:c r="F235" s="30" t="n">
        <x:v>50.4</x:v>
      </x:c>
      <x:c r="G235" s="30" t="n">
        <x:v>50.4</x:v>
      </x:c>
      <x:c r="H235" s="29" t="str">
        <x:v>$50.40</x:v>
      </x:c>
      <x:c r="I235" s="31" t="n">
        <x:f>ROUND(G235*J235,0)</x:f>
        <x:v>1628</x:v>
      </x:c>
      <x:c r="J235" s="32" t="n">
        <x:v>32.3</x:v>
      </x:c>
      <x:c r="K235" s="29" t="str">
        <x:v>Auction</x:v>
      </x:c>
      <x:c r="L235" s="29" t="str">
        <x:v>Fanatics</x:v>
      </x:c>
      <x:c r="M235" s="33" t="str">
        <x:v>https://www.fanaticscollect.com/weekly/4204f362-6f23-11ed-9f50-0a58a9feac02</x:v>
      </x:c>
    </x:row>
    <x:row r="236">
      <x:c r="A236" s="28" t="n">
        <x:v>44892</x:v>
      </x:c>
      <x:c r="B236" s="29" t="str">
        <x:v>Chansey</x:v>
      </x:c>
      <x:c r="C236" s="29" t="str">
        <x:v>吉利蛋</x:v>
      </x:c>
      <x:c r="D236" s="29" t="str">
        <x:v>PSA 6</x:v>
      </x:c>
      <x:c r="E236" s="29" t="str">
        <x:v>PSA</x:v>
      </x:c>
      <x:c r="F236" s="30" t="n">
        <x:v>31.2</x:v>
      </x:c>
      <x:c r="G236" s="30" t="n">
        <x:v>31.2</x:v>
      </x:c>
      <x:c r="H236" s="29" t="str">
        <x:v>$31.20</x:v>
      </x:c>
      <x:c r="I236" s="31" t="n">
        <x:f>ROUND(G236*J236,0)</x:f>
        <x:v>1008</x:v>
      </x:c>
      <x:c r="J236" s="32" t="n">
        <x:v>32.3</x:v>
      </x:c>
      <x:c r="K236" s="29" t="str">
        <x:v>Auction</x:v>
      </x:c>
      <x:c r="L236" s="29" t="str">
        <x:v>Fanatics</x:v>
      </x:c>
      <x:c r="M236" s="33" t="str">
        <x:v>https://www.fanaticscollect.com/weekly/421809a2-6f23-11ed-809f-0a58a9feac02</x:v>
      </x:c>
    </x:row>
    <x:row r="237">
      <x:c r="A237" s="28" t="n">
        <x:v>44892</x:v>
      </x:c>
      <x:c r="B237" s="29" t="str">
        <x:v>Charmander</x:v>
      </x:c>
      <x:c r="C237" s="29" t="str">
        <x:v>小火龍</x:v>
      </x:c>
      <x:c r="D237" s="29" t="str">
        <x:v>PSA 8</x:v>
      </x:c>
      <x:c r="E237" s="29" t="str">
        <x:v>PSA</x:v>
      </x:c>
      <x:c r="F237" s="30" t="n">
        <x:v>62.4</x:v>
      </x:c>
      <x:c r="G237" s="30" t="n">
        <x:v>62.4</x:v>
      </x:c>
      <x:c r="H237" s="29" t="str">
        <x:v>$62.40</x:v>
      </x:c>
      <x:c r="I237" s="31" t="n">
        <x:f>ROUND(G237*J237,0)</x:f>
        <x:v>2016</x:v>
      </x:c>
      <x:c r="J237" s="32" t="n">
        <x:v>32.3</x:v>
      </x:c>
      <x:c r="K237" s="29" t="str">
        <x:v>Auction</x:v>
      </x:c>
      <x:c r="L237" s="29" t="str">
        <x:v>Fanatics</x:v>
      </x:c>
      <x:c r="M237" s="33" t="str">
        <x:v>https://www.fanaticscollect.com/weekly/4204f1be-6f23-11ed-a959-0a58a9feac02</x:v>
      </x:c>
    </x:row>
    <x:row r="238">
      <x:c r="A238" s="28" t="n">
        <x:v>44892</x:v>
      </x:c>
      <x:c r="B238" s="29" t="str">
        <x:v>Hitmonchan</x:v>
      </x:c>
      <x:c r="C238" s="29" t="str">
        <x:v>快拳郎</x:v>
      </x:c>
      <x:c r="D238" s="29" t="str">
        <x:v>PSA 6</x:v>
      </x:c>
      <x:c r="E238" s="29" t="str">
        <x:v>PSA</x:v>
      </x:c>
      <x:c r="F238" s="30" t="n">
        <x:v>36</x:v>
      </x:c>
      <x:c r="G238" s="30" t="n">
        <x:v>36</x:v>
      </x:c>
      <x:c r="H238" s="29" t="str">
        <x:v>$36</x:v>
      </x:c>
      <x:c r="I238" s="31" t="n">
        <x:f>ROUND(G238*J238,0)</x:f>
        <x:v>1163</x:v>
      </x:c>
      <x:c r="J238" s="32" t="n">
        <x:v>32.3</x:v>
      </x:c>
      <x:c r="K238" s="29" t="str">
        <x:v>Auction</x:v>
      </x:c>
      <x:c r="L238" s="29" t="str">
        <x:v>Fanatics</x:v>
      </x:c>
      <x:c r="M238" s="33" t="str">
        <x:v>https://www.fanaticscollect.com/weekly/4204f84e-6f23-11ed-a501-0a58a9feac02</x:v>
      </x:c>
    </x:row>
    <x:row r="239">
      <x:c r="A239" s="28" t="n">
        <x:v>44892</x:v>
      </x:c>
      <x:c r="B239" s="29" t="str">
        <x:v>Pikachu</x:v>
      </x:c>
      <x:c r="C239" s="29" t="str">
        <x:v>皮卡丘</x:v>
      </x:c>
      <x:c r="D239" s="29" t="str">
        <x:v>PSA 9</x:v>
      </x:c>
      <x:c r="E239" s="29" t="str">
        <x:v>PSA</x:v>
      </x:c>
      <x:c r="F239" s="30" t="n">
        <x:v>39.6</x:v>
      </x:c>
      <x:c r="G239" s="30" t="n">
        <x:v>39.6</x:v>
      </x:c>
      <x:c r="H239" s="29" t="str">
        <x:v>$39.60</x:v>
      </x:c>
      <x:c r="I239" s="31" t="n">
        <x:f>ROUND(G239*J239,0)</x:f>
        <x:v>1279</x:v>
      </x:c>
      <x:c r="J239" s="32" t="n">
        <x:v>32.3</x:v>
      </x:c>
      <x:c r="K239" s="29" t="str">
        <x:v>Auction</x:v>
      </x:c>
      <x:c r="L239" s="29" t="str">
        <x:v>Fanatics</x:v>
      </x:c>
      <x:c r="M239" s="33" t="str">
        <x:v>https://www.fanaticscollect.com/weekly/4204f290-6f23-11ed-94ab-0a58a9feac02</x:v>
      </x:c>
    </x:row>
    <x:row r="240">
      <x:c r="A240" s="28" t="n">
        <x:v>44787</x:v>
      </x:c>
      <x:c r="B240" s="29" t="str">
        <x:v>Charmander</x:v>
      </x:c>
      <x:c r="C240" s="29" t="str">
        <x:v>小火龍</x:v>
      </x:c>
      <x:c r="D240" s="29" t="str">
        <x:v>PSA 10</x:v>
      </x:c>
      <x:c r="E240" s="29" t="str">
        <x:v>PSA</x:v>
      </x:c>
      <x:c r="F240" s="30" t="n">
        <x:v>690</x:v>
      </x:c>
      <x:c r="G240" s="30" t="n">
        <x:v>690</x:v>
      </x:c>
      <x:c r="H240" s="29" t="str">
        <x:v>$690</x:v>
      </x:c>
      <x:c r="I240" s="31" t="n">
        <x:f>ROUND(G240*J240,0)</x:f>
        <x:v>22287</x:v>
      </x:c>
      <x:c r="J240" s="32" t="n">
        <x:v>32.3</x:v>
      </x:c>
      <x:c r="K240" s="29" t="str">
        <x:v>Auction</x:v>
      </x:c>
      <x:c r="L240" s="29" t="str">
        <x:v>Fanatics</x:v>
      </x:c>
      <x:c r="M240" s="33" t="str">
        <x:v>https://www.fanaticscollect.com/weekly/30339396-6f23-11ed-8f35-0a58a9feac02</x:v>
      </x:c>
    </x:row>
    <x:row r="241">
      <x:c r="A241" s="28" t="n">
        <x:v>44787</x:v>
      </x:c>
      <x:c r="B241" s="29" t="str">
        <x:v>Charmeleon</x:v>
      </x:c>
      <x:c r="C241" s="29" t="str">
        <x:v>火恐龍</x:v>
      </x:c>
      <x:c r="D241" s="29" t="str">
        <x:v>PSA 10</x:v>
      </x:c>
      <x:c r="E241" s="29" t="str">
        <x:v>PSA</x:v>
      </x:c>
      <x:c r="F241" s="30" t="n">
        <x:v>408</x:v>
      </x:c>
      <x:c r="G241" s="30" t="n">
        <x:v>408</x:v>
      </x:c>
      <x:c r="H241" s="29" t="str">
        <x:v>$408</x:v>
      </x:c>
      <x:c r="I241" s="31" t="n">
        <x:f>ROUND(G241*J241,0)</x:f>
        <x:v>13178</x:v>
      </x:c>
      <x:c r="J241" s="32" t="n">
        <x:v>32.3</x:v>
      </x:c>
      <x:c r="K241" s="29" t="str">
        <x:v>Auction</x:v>
      </x:c>
      <x:c r="L241" s="29" t="str">
        <x:v>Fanatics</x:v>
      </x:c>
      <x:c r="M241" s="33" t="str">
        <x:v>https://www.fanaticscollect.com/weekly/30339044-6f23-11ed-bfee-0a58a9feac02</x:v>
      </x:c>
    </x:row>
    <x:row r="242">
      <x:c r="A242" s="28" t="n">
        <x:v>44787</x:v>
      </x:c>
      <x:c r="B242" s="29" t="str">
        <x:v>Wartortle</x:v>
      </x:c>
      <x:c r="C242" s="29" t="str">
        <x:v>卡咪龜</x:v>
      </x:c>
      <x:c r="D242" s="29" t="str">
        <x:v>PSA 10</x:v>
      </x:c>
      <x:c r="E242" s="29" t="str">
        <x:v>PSA</x:v>
      </x:c>
      <x:c r="F242" s="30" t="n">
        <x:v>384</x:v>
      </x:c>
      <x:c r="G242" s="30" t="n">
        <x:v>384</x:v>
      </x:c>
      <x:c r="H242" s="29" t="str">
        <x:v>$384</x:v>
      </x:c>
      <x:c r="I242" s="31" t="n">
        <x:f>ROUND(G242*J242,0)</x:f>
        <x:v>12403</x:v>
      </x:c>
      <x:c r="J242" s="32" t="n">
        <x:v>32.3</x:v>
      </x:c>
      <x:c r="K242" s="29" t="str">
        <x:v>Auction</x:v>
      </x:c>
      <x:c r="L242" s="29" t="str">
        <x:v>Fanatics</x:v>
      </x:c>
      <x:c r="M242" s="33" t="str">
        <x:v>https://www.fanaticscollect.com/weekly/303392c4-6f23-11ed-8877-0a58a9feac02</x:v>
      </x:c>
    </x:row>
    <x:row r="243">
      <x:c r="A243" s="28" t="n">
        <x:v>44780</x:v>
      </x:c>
      <x:c r="B243" s="29" t="str">
        <x:v>Bulbasaur</x:v>
      </x:c>
      <x:c r="C243" s="29" t="str">
        <x:v>妙蛙種子</x:v>
      </x:c>
      <x:c r="D243" s="29" t="str">
        <x:v>PSA 9</x:v>
      </x:c>
      <x:c r="E243" s="29" t="str">
        <x:v>PSA</x:v>
      </x:c>
      <x:c r="F243" s="30" t="n">
        <x:v>144</x:v>
      </x:c>
      <x:c r="G243" s="30" t="n">
        <x:v>144</x:v>
      </x:c>
      <x:c r="H243" s="29" t="str">
        <x:v>$144</x:v>
      </x:c>
      <x:c r="I243" s="31" t="n">
        <x:f>ROUND(G243*J243,0)</x:f>
        <x:v>4651</x:v>
      </x:c>
      <x:c r="J243" s="32" t="n">
        <x:v>32.3</x:v>
      </x:c>
      <x:c r="K243" s="29" t="str">
        <x:v>Auction</x:v>
      </x:c>
      <x:c r="L243" s="29" t="str">
        <x:v>Fanatics</x:v>
      </x:c>
      <x:c r="M243" s="33" t="str">
        <x:v>https://www.fanaticscollect.com/weekly/3033624a-6f23-11ed-bb57-0a58a9feac02</x:v>
      </x:c>
    </x:row>
    <x:row r="244">
      <x:c r="A244" s="28" t="n">
        <x:v>44780</x:v>
      </x:c>
      <x:c r="B244" s="29" t="str">
        <x:v>Ivysaur</x:v>
      </x:c>
      <x:c r="C244" s="29" t="str">
        <x:v>妙蛙草</x:v>
      </x:c>
      <x:c r="D244" s="29" t="str">
        <x:v>PSA 9</x:v>
      </x:c>
      <x:c r="E244" s="29" t="str">
        <x:v>PSA</x:v>
      </x:c>
      <x:c r="F244" s="30" t="n">
        <x:v>54</x:v>
      </x:c>
      <x:c r="G244" s="30" t="n">
        <x:v>54</x:v>
      </x:c>
      <x:c r="H244" s="29" t="str">
        <x:v>$54</x:v>
      </x:c>
      <x:c r="I244" s="31" t="n">
        <x:f>ROUND(G244*J244,0)</x:f>
        <x:v>1744</x:v>
      </x:c>
      <x:c r="J244" s="32" t="n">
        <x:v>32.3</x:v>
      </x:c>
      <x:c r="K244" s="29" t="str">
        <x:v>Auction</x:v>
      </x:c>
      <x:c r="L244" s="29" t="str">
        <x:v>Fanatics</x:v>
      </x:c>
      <x:c r="M244" s="33" t="str">
        <x:v>https://www.fanaticscollect.com/weekly/30335d5e-6f23-11ed-adae-0a58a9feac02</x:v>
      </x:c>
    </x:row>
    <x:row r="245">
      <x:c r="A245" s="28" t="n">
        <x:v>44780</x:v>
      </x:c>
      <x:c r="B245" s="29" t="str">
        <x:v>Magikarp</x:v>
      </x:c>
      <x:c r="C245" s="29" t="str">
        <x:v>鯉魚王</x:v>
      </x:c>
      <x:c r="D245" s="29" t="str">
        <x:v>PSA 9</x:v>
      </x:c>
      <x:c r="E245" s="29" t="str">
        <x:v>PSA</x:v>
      </x:c>
      <x:c r="F245" s="30" t="n">
        <x:v>54</x:v>
      </x:c>
      <x:c r="G245" s="30" t="n">
        <x:v>54</x:v>
      </x:c>
      <x:c r="H245" s="29" t="str">
        <x:v>$54</x:v>
      </x:c>
      <x:c r="I245" s="31" t="n">
        <x:f>ROUND(G245*J245,0)</x:f>
        <x:v>1744</x:v>
      </x:c>
      <x:c r="J245" s="32" t="n">
        <x:v>32.3</x:v>
      </x:c>
      <x:c r="K245" s="29" t="str">
        <x:v>Auction</x:v>
      </x:c>
      <x:c r="L245" s="29" t="str">
        <x:v>Fanatics</x:v>
      </x:c>
      <x:c r="M245" s="33" t="str">
        <x:v>https://www.fanaticscollect.com/weekly/30335bba-6f23-11ed-80c8-0a58a9feac02</x:v>
      </x:c>
    </x:row>
    <x:row r="246">
      <x:c r="A246" s="28" t="n">
        <x:v>44780</x:v>
      </x:c>
      <x:c r="B246" s="29" t="str">
        <x:v>Pikachu</x:v>
      </x:c>
      <x:c r="C246" s="29" t="str">
        <x:v>皮卡丘</x:v>
      </x:c>
      <x:c r="D246" s="29" t="str">
        <x:v>PSA 9</x:v>
      </x:c>
      <x:c r="E246" s="29" t="str">
        <x:v>PSA</x:v>
      </x:c>
      <x:c r="F246" s="30" t="n">
        <x:v>408</x:v>
      </x:c>
      <x:c r="G246" s="30" t="n">
        <x:v>408</x:v>
      </x:c>
      <x:c r="H246" s="29" t="str">
        <x:v>$408</x:v>
      </x:c>
      <x:c r="I246" s="31" t="n">
        <x:f>ROUND(G246*J246,0)</x:f>
        <x:v>13178</x:v>
      </x:c>
      <x:c r="J246" s="32" t="n">
        <x:v>32.3</x:v>
      </x:c>
      <x:c r="K246" s="29" t="str">
        <x:v>Auction</x:v>
      </x:c>
      <x:c r="L246" s="29" t="str">
        <x:v>Fanatics</x:v>
      </x:c>
      <x:c r="M246" s="33" t="str">
        <x:v>https://www.fanaticscollect.com/weekly/30336312-6f23-11ed-8f75-0a58a9feac02</x:v>
      </x:c>
    </x:row>
    <x:row r="247">
      <x:c r="A247" s="28" t="n">
        <x:v>44780</x:v>
      </x:c>
      <x:c r="B247" s="29" t="str">
        <x:v>Squirtle</x:v>
      </x:c>
      <x:c r="C247" s="29" t="str">
        <x:v>傑尼龜</x:v>
      </x:c>
      <x:c r="D247" s="29" t="str">
        <x:v>PSA 9</x:v>
      </x:c>
      <x:c r="E247" s="29" t="str">
        <x:v>PSA</x:v>
      </x:c>
      <x:c r="F247" s="30" t="n">
        <x:v>144</x:v>
      </x:c>
      <x:c r="G247" s="30" t="n">
        <x:v>144</x:v>
      </x:c>
      <x:c r="H247" s="29" t="str">
        <x:v>$144</x:v>
      </x:c>
      <x:c r="I247" s="31" t="n">
        <x:f>ROUND(G247*J247,0)</x:f>
        <x:v>4651</x:v>
      </x:c>
      <x:c r="J247" s="32" t="n">
        <x:v>32.3</x:v>
      </x:c>
      <x:c r="K247" s="29" t="str">
        <x:v>Auction</x:v>
      </x:c>
      <x:c r="L247" s="29" t="str">
        <x:v>Fanatics</x:v>
      </x:c>
      <x:c r="M247" s="33" t="str">
        <x:v>https://www.fanaticscollect.com/weekly/3033864e-6f23-11ed-a333-0a58a9feac02</x:v>
      </x:c>
    </x:row>
    <x:row r="248">
      <x:c r="A248" s="28" t="n">
        <x:v>44773</x:v>
      </x:c>
      <x:c r="B248" s="29" t="str">
        <x:v>Charizard</x:v>
      </x:c>
      <x:c r="C248" s="29" t="str">
        <x:v>噴火龍</x:v>
      </x:c>
      <x:c r="D248" s="29" t="str">
        <x:v>PSA 8</x:v>
      </x:c>
      <x:c r="E248" s="29" t="str">
        <x:v>PSA</x:v>
      </x:c>
      <x:c r="F248" s="30" t="n">
        <x:v>2760</x:v>
      </x:c>
      <x:c r="G248" s="30" t="n">
        <x:v>2760</x:v>
      </x:c>
      <x:c r="H248" s="29" t="str">
        <x:v>$2,760</x:v>
      </x:c>
      <x:c r="I248" s="31" t="n">
        <x:f>ROUND(G248*J248,0)</x:f>
        <x:v>89148</x:v>
      </x:c>
      <x:c r="J248" s="32" t="n">
        <x:v>32.3</x:v>
      </x:c>
      <x:c r="K248" s="29" t="str">
        <x:v>Auction</x:v>
      </x:c>
      <x:c r="L248" s="29" t="str">
        <x:v>Fanatics</x:v>
      </x:c>
      <x:c r="M248" s="33" t="str">
        <x:v>https://www.fanaticscollect.com/weekly/32fd3b90-6f23-11ed-aa94-0a58a9feac02</x:v>
      </x:c>
    </x:row>
    <x:row r="249">
      <x:c r="A249" s="28" t="n">
        <x:v>44773</x:v>
      </x:c>
      <x:c r="B249" s="29" t="str">
        <x:v>Zapdos</x:v>
      </x:c>
      <x:c r="C249" s="29" t="str">
        <x:v>閃電鳥</x:v>
      </x:c>
      <x:c r="D249" s="29" t="str">
        <x:v>BGS 8.5</x:v>
      </x:c>
      <x:c r="E249" s="29" t="str">
        <x:v>BGS</x:v>
      </x:c>
      <x:c r="F249" s="30" t="n">
        <x:v>180</x:v>
      </x:c>
      <x:c r="G249" s="30" t="n">
        <x:v>180</x:v>
      </x:c>
      <x:c r="H249" s="29" t="str">
        <x:v>$180</x:v>
      </x:c>
      <x:c r="I249" s="31" t="n">
        <x:f>ROUND(G249*J249,0)</x:f>
        <x:v>5814</x:v>
      </x:c>
      <x:c r="J249" s="32" t="n">
        <x:v>32.3</x:v>
      </x:c>
      <x:c r="K249" s="29" t="str">
        <x:v>Auction</x:v>
      </x:c>
      <x:c r="L249" s="29" t="str">
        <x:v>Fanatics</x:v>
      </x:c>
      <x:c r="M249" s="33" t="str">
        <x:v>https://www.fanaticscollect.com/weekly/32fd4ffe-6f23-11ed-8d06-0a58a9feac02</x:v>
      </x:c>
    </x:row>
    <x:row r="250">
      <x:c r="A250" s="28" t="n">
        <x:v>44752</x:v>
      </x:c>
      <x:c r="B250" s="29" t="str">
        <x:v>Blastoise</x:v>
      </x:c>
      <x:c r="C250" s="29" t="str">
        <x:v>水箭龜</x:v>
      </x:c>
      <x:c r="D250" s="29" t="str">
        <x:v>PSA 9</x:v>
      </x:c>
      <x:c r="E250" s="29" t="str">
        <x:v>PSA</x:v>
      </x:c>
      <x:c r="F250" s="30" t="n">
        <x:v>990</x:v>
      </x:c>
      <x:c r="G250" s="30" t="n">
        <x:v>990</x:v>
      </x:c>
      <x:c r="H250" s="29" t="str">
        <x:v>$990</x:v>
      </x:c>
      <x:c r="I250" s="31" t="n">
        <x:f>ROUND(G250*J250,0)</x:f>
        <x:v>31977</x:v>
      </x:c>
      <x:c r="J250" s="32" t="n">
        <x:v>32.3</x:v>
      </x:c>
      <x:c r="K250" s="29" t="str">
        <x:v>Auction</x:v>
      </x:c>
      <x:c r="L250" s="29" t="str">
        <x:v>Fanatics</x:v>
      </x:c>
      <x:c r="M250" s="33" t="str">
        <x:v>https://www.fanaticscollect.com/weekly/30497a4e-6f23-11ed-a4f7-0a58a9feac02</x:v>
      </x:c>
    </x:row>
    <x:row r="251">
      <x:c r="A251" s="28" t="n">
        <x:v>44752</x:v>
      </x:c>
      <x:c r="B251" s="29" t="str">
        <x:v>Charizard</x:v>
      </x:c>
      <x:c r="C251" s="29" t="str">
        <x:v>噴火龍</x:v>
      </x:c>
      <x:c r="D251" s="29" t="str">
        <x:v>PSA 9</x:v>
      </x:c>
      <x:c r="E251" s="29" t="str">
        <x:v>PSA</x:v>
      </x:c>
      <x:c r="F251" s="30" t="n">
        <x:v>5040</x:v>
      </x:c>
      <x:c r="G251" s="30" t="n">
        <x:v>5040</x:v>
      </x:c>
      <x:c r="H251" s="29" t="str">
        <x:v>$5,040</x:v>
      </x:c>
      <x:c r="I251" s="31" t="n">
        <x:f>ROUND(G251*J251,0)</x:f>
        <x:v>162792</x:v>
      </x:c>
      <x:c r="J251" s="32" t="n">
        <x:v>32.3</x:v>
      </x:c>
      <x:c r="K251" s="29" t="str">
        <x:v>Auction</x:v>
      </x:c>
      <x:c r="L251" s="29" t="str">
        <x:v>Fanatics</x:v>
      </x:c>
      <x:c r="M251" s="33" t="str">
        <x:v>https://www.fanaticscollect.com/weekly/3049797c-6f23-11ed-a92a-0a58a9feac02</x:v>
      </x:c>
    </x:row>
    <x:row r="252">
      <x:c r="A252" s="28" t="n">
        <x:v>44752</x:v>
      </x:c>
      <x:c r="B252" s="29" t="str">
        <x:v>Venusaur</x:v>
      </x:c>
      <x:c r="C252" s="29" t="str">
        <x:v>妙蛙花</x:v>
      </x:c>
      <x:c r="D252" s="29" t="str">
        <x:v>PSA 9</x:v>
      </x:c>
      <x:c r="E252" s="29" t="str">
        <x:v>PSA</x:v>
      </x:c>
      <x:c r="F252" s="30" t="n">
        <x:v>720</x:v>
      </x:c>
      <x:c r="G252" s="30" t="n">
        <x:v>720</x:v>
      </x:c>
      <x:c r="H252" s="29" t="str">
        <x:v>$720</x:v>
      </x:c>
      <x:c r="I252" s="31" t="n">
        <x:f>ROUND(G252*J252,0)</x:f>
        <x:v>23256</x:v>
      </x:c>
      <x:c r="J252" s="32" t="n">
        <x:v>32.3</x:v>
      </x:c>
      <x:c r="K252" s="29" t="str">
        <x:v>Auction</x:v>
      </x:c>
      <x:c r="L252" s="29" t="str">
        <x:v>Fanatics</x:v>
      </x:c>
      <x:c r="M252" s="33" t="str">
        <x:v>https://www.fanaticscollect.com/weekly/30497b20-6f23-11ed-b155-0a58a9feac02</x:v>
      </x:c>
    </x:row>
    <x:row r="253">
      <x:c r="A253" s="28" t="n">
        <x:v>44703</x:v>
      </x:c>
      <x:c r="B253" s="29" t="str">
        <x:v>Gyarados</x:v>
      </x:c>
      <x:c r="C253" s="29" t="str">
        <x:v>暴鯉龍</x:v>
      </x:c>
      <x:c r="D253" s="29" t="str">
        <x:v>PSA 8</x:v>
      </x:c>
      <x:c r="E253" s="29" t="str">
        <x:v>PSA</x:v>
      </x:c>
      <x:c r="F253" s="30" t="n">
        <x:v>192</x:v>
      </x:c>
      <x:c r="G253" s="30" t="n">
        <x:v>192</x:v>
      </x:c>
      <x:c r="H253" s="29" t="str">
        <x:v>$192</x:v>
      </x:c>
      <x:c r="I253" s="31" t="n">
        <x:f>ROUND(G253*J253,0)</x:f>
        <x:v>6202</x:v>
      </x:c>
      <x:c r="J253" s="32" t="n">
        <x:v>32.3</x:v>
      </x:c>
      <x:c r="K253" s="29" t="str">
        <x:v>Auction</x:v>
      </x:c>
      <x:c r="L253" s="29" t="str">
        <x:v>Fanatics</x:v>
      </x:c>
      <x:c r="M253" s="33" t="str">
        <x:v>https://www.fanaticscollect.com/weekly/288a3b40-6f23-11ed-bc69-0a58a9feac02</x:v>
      </x:c>
    </x:row>
    <x:row r="254">
      <x:c r="A254" s="28" t="n">
        <x:v>44696</x:v>
      </x:c>
      <x:c r="B254" s="29" t="str">
        <x:v>Poliwrath</x:v>
      </x:c>
      <x:c r="C254" s="29" t="str">
        <x:v>蚊香士</x:v>
      </x:c>
      <x:c r="D254" s="29" t="str">
        <x:v>PSA 9</x:v>
      </x:c>
      <x:c r="E254" s="29" t="str">
        <x:v>PSA</x:v>
      </x:c>
      <x:c r="F254" s="30" t="n">
        <x:v>192</x:v>
      </x:c>
      <x:c r="G254" s="30" t="n">
        <x:v>192</x:v>
      </x:c>
      <x:c r="H254" s="29" t="str">
        <x:v>$192</x:v>
      </x:c>
      <x:c r="I254" s="31" t="n">
        <x:f>ROUND(G254*J254,0)</x:f>
        <x:v>6202</x:v>
      </x:c>
      <x:c r="J254" s="32" t="n">
        <x:v>32.3</x:v>
      </x:c>
      <x:c r="K254" s="29" t="str">
        <x:v>Auction</x:v>
      </x:c>
      <x:c r="L254" s="29" t="str">
        <x:v>Fanatics</x:v>
      </x:c>
      <x:c r="M254" s="33" t="str">
        <x:v>https://www.fanaticscollect.com/weekly/27d4e146-6f23-11ed-a169-0a58a9feac02</x:v>
      </x:c>
    </x:row>
    <x:row r="255">
      <x:c r="A255" s="28" t="n">
        <x:v>44682</x:v>
      </x:c>
      <x:c r="B255" s="29" t="str">
        <x:v>Charmeleon</x:v>
      </x:c>
      <x:c r="C255" s="29" t="str">
        <x:v>火恐龍</x:v>
      </x:c>
      <x:c r="D255" s="29" t="str">
        <x:v>CGC 8.5</x:v>
      </x:c>
      <x:c r="E255" s="29" t="str">
        <x:v>CGC</x:v>
      </x:c>
      <x:c r="F255" s="30" t="n">
        <x:v>18</x:v>
      </x:c>
      <x:c r="G255" s="30" t="n">
        <x:v>18</x:v>
      </x:c>
      <x:c r="H255" s="29" t="str">
        <x:v>$18</x:v>
      </x:c>
      <x:c r="I255" s="31" t="n">
        <x:f>ROUND(G255*J255,0)</x:f>
        <x:v>581</x:v>
      </x:c>
      <x:c r="J255" s="32" t="n">
        <x:v>32.3</x:v>
      </x:c>
      <x:c r="K255" s="29" t="str">
        <x:v>Auction</x:v>
      </x:c>
      <x:c r="L255" s="29" t="str">
        <x:v>Fanatics</x:v>
      </x:c>
      <x:c r="M255" s="33" t="str">
        <x:v>https://www.fanaticscollect.com/weekly/25c3c2dc-6f23-11ed-9019-0a58a9feac02</x:v>
      </x:c>
    </x:row>
    <x:row r="256">
      <x:c r="A256" s="28" t="n">
        <x:v>44682</x:v>
      </x:c>
      <x:c r="B256" s="29" t="str">
        <x:v>Pikachu</x:v>
      </x:c>
      <x:c r="C256" s="29" t="str">
        <x:v>皮卡丘</x:v>
      </x:c>
      <x:c r="D256" s="29" t="str">
        <x:v>CGC 8.5</x:v>
      </x:c>
      <x:c r="E256" s="29" t="str">
        <x:v>CGC</x:v>
      </x:c>
      <x:c r="F256" s="30" t="n">
        <x:v>54</x:v>
      </x:c>
      <x:c r="G256" s="30" t="n">
        <x:v>54</x:v>
      </x:c>
      <x:c r="H256" s="29" t="str">
        <x:v>$54</x:v>
      </x:c>
      <x:c r="I256" s="31" t="n">
        <x:f>ROUND(G256*J256,0)</x:f>
        <x:v>1744</x:v>
      </x:c>
      <x:c r="J256" s="32" t="n">
        <x:v>32.3</x:v>
      </x:c>
      <x:c r="K256" s="29" t="str">
        <x:v>Auction</x:v>
      </x:c>
      <x:c r="L256" s="29" t="str">
        <x:v>Fanatics</x:v>
      </x:c>
      <x:c r="M256" s="33" t="str">
        <x:v>https://www.fanaticscollect.com/weekly/25c451e8-6f23-11ed-a8c7-0a58a9feac02</x:v>
      </x:c>
    </x:row>
    <x:row r="257">
      <x:c r="A257" s="28" t="n">
        <x:v>44654</x:v>
      </x:c>
      <x:c r="B257" s="29" t="str">
        <x:v>Blastoise</x:v>
      </x:c>
      <x:c r="C257" s="29" t="str">
        <x:v>水箭龜</x:v>
      </x:c>
      <x:c r="D257" s="29" t="str">
        <x:v>PSA 9</x:v>
      </x:c>
      <x:c r="E257" s="29" t="str">
        <x:v>PSA</x:v>
      </x:c>
      <x:c r="F257" s="30" t="n">
        <x:v>1440</x:v>
      </x:c>
      <x:c r="G257" s="30" t="n">
        <x:v>1440</x:v>
      </x:c>
      <x:c r="H257" s="29" t="str">
        <x:v>$1,440</x:v>
      </x:c>
      <x:c r="I257" s="31" t="n">
        <x:f>ROUND(G257*J257,0)</x:f>
        <x:v>46512</x:v>
      </x:c>
      <x:c r="J257" s="32" t="n">
        <x:v>32.3</x:v>
      </x:c>
      <x:c r="K257" s="29" t="str">
        <x:v>Auction</x:v>
      </x:c>
      <x:c r="L257" s="29" t="str">
        <x:v>Fanatics</x:v>
      </x:c>
      <x:c r="M257" s="33" t="str">
        <x:v>https://www.fanaticscollect.com/weekly/238bdae0-6f23-11ed-b926-0a58a9feac02</x:v>
      </x:c>
    </x:row>
    <x:row r="258">
      <x:c r="A258" s="28" t="n">
        <x:v>44654</x:v>
      </x:c>
      <x:c r="B258" s="29" t="str">
        <x:v>Charizard</x:v>
      </x:c>
      <x:c r="C258" s="29" t="str">
        <x:v>噴火龍</x:v>
      </x:c>
      <x:c r="D258" s="29" t="str">
        <x:v>PSA 9</x:v>
      </x:c>
      <x:c r="E258" s="29" t="str">
        <x:v>PSA</x:v>
      </x:c>
      <x:c r="F258" s="30" t="n">
        <x:v>4920</x:v>
      </x:c>
      <x:c r="G258" s="30" t="n">
        <x:v>4920</x:v>
      </x:c>
      <x:c r="H258" s="29" t="str">
        <x:v>$4,920</x:v>
      </x:c>
      <x:c r="I258" s="31" t="n">
        <x:f>ROUND(G258*J258,0)</x:f>
        <x:v>158916</x:v>
      </x:c>
      <x:c r="J258" s="32" t="n">
        <x:v>32.3</x:v>
      </x:c>
      <x:c r="K258" s="29" t="str">
        <x:v>Auction</x:v>
      </x:c>
      <x:c r="L258" s="29" t="str">
        <x:v>Fanatics</x:v>
      </x:c>
      <x:c r="M258" s="33" t="str">
        <x:v>https://www.fanaticscollect.com/weekly/238bda0e-6f23-11ed-b3c5-0a58a9feac02</x:v>
      </x:c>
    </x:row>
    <x:row r="259">
      <x:c r="A259" s="28" t="n">
        <x:v>44605</x:v>
      </x:c>
      <x:c r="B259" s="29" t="str">
        <x:v>Blastoise</x:v>
      </x:c>
      <x:c r="C259" s="29" t="str">
        <x:v>水箭龜</x:v>
      </x:c>
      <x:c r="D259" s="29" t="str">
        <x:v>PSA 8</x:v>
      </x:c>
      <x:c r="E259" s="29" t="str">
        <x:v>PSA</x:v>
      </x:c>
      <x:c r="F259" s="30" t="n">
        <x:v>420</x:v>
      </x:c>
      <x:c r="G259" s="30" t="n">
        <x:v>420</x:v>
      </x:c>
      <x:c r="H259" s="29" t="str">
        <x:v>$420</x:v>
      </x:c>
      <x:c r="I259" s="31" t="n">
        <x:f>ROUND(G259*J259,0)</x:f>
        <x:v>13566</x:v>
      </x:c>
      <x:c r="J259" s="32" t="n">
        <x:v>32.3</x:v>
      </x:c>
      <x:c r="K259" s="29" t="str">
        <x:v>Auction</x:v>
      </x:c>
      <x:c r="L259" s="29" t="str">
        <x:v>Fanatics</x:v>
      </x:c>
      <x:c r="M259" s="33" t="str">
        <x:v>https://www.fanaticscollect.com/weekly/2015b03e-6f23-11ed-9647-0a58a9feac02</x:v>
      </x:c>
    </x:row>
    <x:row r="260">
      <x:c r="A260" s="28" t="n">
        <x:v>44605</x:v>
      </x:c>
      <x:c r="B260" s="29" t="str">
        <x:v>Charizard</x:v>
      </x:c>
      <x:c r="C260" s="29" t="str">
        <x:v>噴火龍</x:v>
      </x:c>
      <x:c r="D260" s="29" t="str">
        <x:v>PSA 7</x:v>
      </x:c>
      <x:c r="E260" s="29" t="str">
        <x:v>PSA</x:v>
      </x:c>
      <x:c r="F260" s="30" t="n">
        <x:v>1710</x:v>
      </x:c>
      <x:c r="G260" s="30" t="n">
        <x:v>1710</x:v>
      </x:c>
      <x:c r="H260" s="29" t="str">
        <x:v>$1,710</x:v>
      </x:c>
      <x:c r="I260" s="31" t="n">
        <x:f>ROUND(G260*J260,0)</x:f>
        <x:v>55233</x:v>
      </x:c>
      <x:c r="J260" s="32" t="n">
        <x:v>32.3</x:v>
      </x:c>
      <x:c r="K260" s="29" t="str">
        <x:v>Auction</x:v>
      </x:c>
      <x:c r="L260" s="29" t="str">
        <x:v>Fanatics</x:v>
      </x:c>
      <x:c r="M260" s="33" t="str">
        <x:v>https://www.fanaticscollect.com/weekly/2015af6c-6f23-11ed-9ae3-0a58a9feac02</x:v>
      </x:c>
    </x:row>
    <x:row r="261">
      <x:c r="A261" s="28" t="n">
        <x:v>44405</x:v>
      </x:c>
      <x:c r="B261" s="29" t="str">
        <x:v>Charizard</x:v>
      </x:c>
      <x:c r="C261" s="29" t="str">
        <x:v>噴火龍</x:v>
      </x:c>
      <x:c r="D261" s="29" t="str">
        <x:v>PSA 8</x:v>
      </x:c>
      <x:c r="E261" s="29" t="str">
        <x:v>PSA</x:v>
      </x:c>
      <x:c r="F261" s="30" t="n">
        <x:v>3050</x:v>
      </x:c>
      <x:c r="G261" s="30" t="n">
        <x:v>3050</x:v>
      </x:c>
      <x:c r="H261" s="29" t="str">
        <x:v>$3,050</x:v>
      </x:c>
      <x:c r="I261" s="31" t="n">
        <x:f>ROUND(G261*J261,0)</x:f>
        <x:v>98515</x:v>
      </x:c>
      <x:c r="J261" s="32" t="n">
        <x:v>32.3</x:v>
      </x:c>
      <x:c r="K261" s="29" t="str">
        <x:v>Auction</x:v>
      </x:c>
      <x:c r="L261" s="29" t="str">
        <x:v>Fanatics</x:v>
      </x:c>
      <x:c r="M261" s="33" t="str">
        <x:v>https://www.fanaticscollect.com/monthly/0dfab6e2-6f23-11ed-b9e6-0a58a9feac02</x:v>
      </x:c>
    </x:row>
    <x:row r="262">
      <x:c r="A262" s="28" t="n">
        <x:v>44405</x:v>
      </x:c>
      <x:c r="B262" s="29" t="str">
        <x:v>Charizard</x:v>
      </x:c>
      <x:c r="C262" s="29" t="str">
        <x:v>噴火龍</x:v>
      </x:c>
      <x:c r="D262" s="29" t="str">
        <x:v>PSA 8</x:v>
      </x:c>
      <x:c r="E262" s="29" t="str">
        <x:v>PSA</x:v>
      </x:c>
      <x:c r="F262" s="30" t="n">
        <x:v>3050</x:v>
      </x:c>
      <x:c r="G262" s="30" t="n">
        <x:v>3050</x:v>
      </x:c>
      <x:c r="H262" s="29" t="str">
        <x:v>$3,050</x:v>
      </x:c>
      <x:c r="I262" s="31" t="n">
        <x:f>ROUND(G262*J262,0)</x:f>
        <x:v>98515</x:v>
      </x:c>
      <x:c r="J262" s="32" t="n">
        <x:v>32.3</x:v>
      </x:c>
      <x:c r="K262" s="29" t="str">
        <x:v>Auction</x:v>
      </x:c>
      <x:c r="L262" s="29" t="str">
        <x:v>Fanatics</x:v>
      </x:c>
      <x:c r="M262" s="33" t="str">
        <x:v>https://www.fanaticscollect.com/monthly/0f69fb00-6f23-11ed-a802-0a58a9feac02</x:v>
      </x:c>
    </x:row>
    <x:row r="263">
      <x:c r="A263" s="28" t="n">
        <x:v>44405</x:v>
      </x:c>
      <x:c r="B263" s="29" t="str">
        <x:v>Hitmonchan</x:v>
      </x:c>
      <x:c r="C263" s="29" t="str">
        <x:v>快拳郎</x:v>
      </x:c>
      <x:c r="D263" s="29" t="str">
        <x:v>PSA 9</x:v>
      </x:c>
      <x:c r="E263" s="29" t="str">
        <x:v>PSA</x:v>
      </x:c>
      <x:c r="F263" s="30" t="n">
        <x:v>355</x:v>
      </x:c>
      <x:c r="G263" s="30" t="n">
        <x:v>355</x:v>
      </x:c>
      <x:c r="H263" s="29" t="str">
        <x:v>$355</x:v>
      </x:c>
      <x:c r="I263" s="31" t="n">
        <x:f>ROUND(G263*J263,0)</x:f>
        <x:v>11466</x:v>
      </x:c>
      <x:c r="J263" s="32" t="n">
        <x:v>32.3</x:v>
      </x:c>
      <x:c r="K263" s="29" t="str">
        <x:v>Auction</x:v>
      </x:c>
      <x:c r="L263" s="29" t="str">
        <x:v>Fanatics</x:v>
      </x:c>
      <x:c r="M263" s="33" t="str">
        <x:v>https://www.fanaticscollect.com/monthly/0c8a1424-6f23-11ed-945b-0a58a9feac02</x:v>
      </x:c>
    </x:row>
    <x:row r="264">
      <x:c r="A264" s="28" t="n">
        <x:v>44405</x:v>
      </x:c>
      <x:c r="B264" s="29" t="str">
        <x:v>Machamp</x:v>
      </x:c>
      <x:c r="C264" s="29" t="str">
        <x:v>怪力</x:v>
      </x:c>
      <x:c r="D264" s="29" t="str">
        <x:v>PSA 8</x:v>
      </x:c>
      <x:c r="E264" s="29" t="str">
        <x:v>PSA</x:v>
      </x:c>
      <x:c r="F264" s="30" t="n">
        <x:v>189.5</x:v>
      </x:c>
      <x:c r="G264" s="30" t="n">
        <x:v>189.5</x:v>
      </x:c>
      <x:c r="H264" s="29" t="str">
        <x:v>$189.50</x:v>
      </x:c>
      <x:c r="I264" s="31" t="n">
        <x:f>ROUND(G264*J264,0)</x:f>
        <x:v>6121</x:v>
      </x:c>
      <x:c r="J264" s="32" t="n">
        <x:v>32.3</x:v>
      </x:c>
      <x:c r="K264" s="29" t="str">
        <x:v>Auction</x:v>
      </x:c>
      <x:c r="L264" s="29" t="str">
        <x:v>Fanatics</x:v>
      </x:c>
      <x:c r="M264" s="33" t="str">
        <x:v>https://www.fanaticscollect.com/monthly/0f69fbdc-6f23-11ed-b0c5-0a58a9feac02</x:v>
      </x:c>
    </x:row>
    <x:row r="265">
      <x:c r="A265" s="28" t="n">
        <x:v>44374</x:v>
      </x:c>
      <x:c r="B265" s="29" t="str">
        <x:v>Poliwrath</x:v>
      </x:c>
      <x:c r="C265" s="29" t="str">
        <x:v>蚊香士</x:v>
      </x:c>
      <x:c r="D265" s="29" t="str">
        <x:v>PSA 9</x:v>
      </x:c>
      <x:c r="E265" s="29" t="str">
        <x:v>PSA</x:v>
      </x:c>
      <x:c r="F265" s="30" t="n">
        <x:v>317</x:v>
      </x:c>
      <x:c r="G265" s="30" t="n">
        <x:v>317</x:v>
      </x:c>
      <x:c r="H265" s="29" t="str">
        <x:v>$317</x:v>
      </x:c>
      <x:c r="I265" s="31" t="n">
        <x:f>ROUND(G265*J265,0)</x:f>
        <x:v>10239</x:v>
      </x:c>
      <x:c r="J265" s="32" t="n">
        <x:v>32.3</x:v>
      </x:c>
      <x:c r="K265" s="29" t="str">
        <x:v>Auction</x:v>
      </x:c>
      <x:c r="L265" s="29" t="str">
        <x:v>Fanatics</x:v>
      </x:c>
      <x:c r="M265" s="33" t="str">
        <x:v>https://www.fanaticscollect.com/monthly/08fce728-6f23-11ed-947a-0a58a9feac02</x:v>
      </x:c>
    </x:row>
    <x:row r="266">
      <x:c r="A266" s="28" t="n">
        <x:v>44344</x:v>
      </x:c>
      <x:c r="B266" s="29" t="str">
        <x:v>Charizard</x:v>
      </x:c>
      <x:c r="C266" s="29" t="str">
        <x:v>噴火龍</x:v>
      </x:c>
      <x:c r="D266" s="29" t="str">
        <x:v>PSA 8</x:v>
      </x:c>
      <x:c r="E266" s="29" t="str">
        <x:v>PSA</x:v>
      </x:c>
      <x:c r="F266" s="30" t="n">
        <x:v>3450</x:v>
      </x:c>
      <x:c r="G266" s="30" t="n">
        <x:v>3450</x:v>
      </x:c>
      <x:c r="H266" s="29" t="str">
        <x:v>$3,450</x:v>
      </x:c>
      <x:c r="I266" s="31" t="n">
        <x:f>ROUND(G266*J266,0)</x:f>
        <x:v>111435</x:v>
      </x:c>
      <x:c r="J266" s="32" t="n">
        <x:v>32.3</x:v>
      </x:c>
      <x:c r="K266" s="29" t="str">
        <x:v>Auction</x:v>
      </x:c>
      <x:c r="L266" s="29" t="str">
        <x:v>Fanatics</x:v>
      </x:c>
      <x:c r="M266" s="33" t="str">
        <x:v>https://www.fanaticscollect.com/monthly/07951f9a-6f23-11ed-a39d-0a58a9feac02</x:v>
      </x:c>
    </x:row>
    <x:row r="267">
      <x:c r="A267" s="28" t="n">
        <x:v>44344</x:v>
      </x:c>
      <x:c r="B267" s="29" t="str">
        <x:v>Charizard</x:v>
      </x:c>
      <x:c r="C267" s="29" t="str">
        <x:v>噴火龍</x:v>
      </x:c>
      <x:c r="D267" s="29" t="str">
        <x:v>PSA 8</x:v>
      </x:c>
      <x:c r="E267" s="29" t="str">
        <x:v>PSA</x:v>
      </x:c>
      <x:c r="F267" s="30" t="n">
        <x:v>4005</x:v>
      </x:c>
      <x:c r="G267" s="30" t="n">
        <x:v>4005</x:v>
      </x:c>
      <x:c r="H267" s="29" t="str">
        <x:v>$4,005</x:v>
      </x:c>
      <x:c r="I267" s="31" t="n">
        <x:f>ROUND(G267*J267,0)</x:f>
        <x:v>129361</x:v>
      </x:c>
      <x:c r="J267" s="32" t="n">
        <x:v>32.3</x:v>
      </x:c>
      <x:c r="K267" s="29" t="str">
        <x:v>Auction</x:v>
      </x:c>
      <x:c r="L267" s="29" t="str">
        <x:v>Fanatics</x:v>
      </x:c>
      <x:c r="M267" s="33" t="str">
        <x:v>https://www.fanaticscollect.com/monthly/0575df60-6f23-11ed-977f-0a58a9feac02</x:v>
      </x:c>
    </x:row>
    <x:row r="268">
      <x:c r="A268" s="28" t="n">
        <x:v>44223</x:v>
      </x:c>
      <x:c r="B268" s="29" t="str">
        <x:v>Mewtwo</x:v>
      </x:c>
      <x:c r="C268" s="29" t="str">
        <x:v>超夢</x:v>
      </x:c>
      <x:c r="D268" s="29" t="str">
        <x:v>PSA 9</x:v>
      </x:c>
      <x:c r="E268" s="29" t="str">
        <x:v>PSA</x:v>
      </x:c>
      <x:c r="F268" s="30" t="n">
        <x:v>760</x:v>
      </x:c>
      <x:c r="G268" s="30" t="n">
        <x:v>760</x:v>
      </x:c>
      <x:c r="H268" s="29" t="str">
        <x:v>$760</x:v>
      </x:c>
      <x:c r="I268" s="31" t="n">
        <x:f>ROUND(G268*J268,0)</x:f>
        <x:v>24548</x:v>
      </x:c>
      <x:c r="J268" s="32" t="n">
        <x:v>32.3</x:v>
      </x:c>
      <x:c r="K268" s="29" t="str">
        <x:v>Auction</x:v>
      </x:c>
      <x:c r="L268" s="29" t="str">
        <x:v>Fanatics</x:v>
      </x:c>
      <x:c r="M268" s="33" t="str">
        <x:v>https://www.fanaticscollect.com/monthly/f94eae2e-6f22-11ed-a16a-0a58a9feac02</x:v>
      </x:c>
    </x:row>
    <x:row r="269">
      <x:c r="A269" s="28" t="n">
        <x:v>44193</x:v>
      </x:c>
      <x:c r="B269" s="29" t="str">
        <x:v>Machamp</x:v>
      </x:c>
      <x:c r="C269" s="29" t="str">
        <x:v>怪力</x:v>
      </x:c>
      <x:c r="D269" s="29" t="str">
        <x:v>PSA 6</x:v>
      </x:c>
      <x:c r="E269" s="29" t="str">
        <x:v>PSA</x:v>
      </x:c>
      <x:c r="F269" s="30" t="n">
        <x:v>84</x:v>
      </x:c>
      <x:c r="G269" s="30" t="n">
        <x:v>84</x:v>
      </x:c>
      <x:c r="H269" s="29" t="str">
        <x:v>$84</x:v>
      </x:c>
      <x:c r="I269" s="31" t="n">
        <x:f>ROUND(G269*J269,0)</x:f>
        <x:v>2713</x:v>
      </x:c>
      <x:c r="J269" s="32" t="n">
        <x:v>32.3</x:v>
      </x:c>
      <x:c r="K269" s="29" t="str">
        <x:v>Auction</x:v>
      </x:c>
      <x:c r="L269" s="29" t="str">
        <x:v>Fanatics</x:v>
      </x:c>
      <x:c r="M269" s="33" t="str">
        <x:v>https://www.fanaticscollect.com/monthly/f764650e-6f22-11ed-831f-0a58a9feac02</x:v>
      </x:c>
    </x:row>
    <x:row r="270">
      <x:c r="A270" s="28" t="n">
        <x:v>44193</x:v>
      </x:c>
      <x:c r="B270" s="29" t="str">
        <x:v>Nidoking</x:v>
      </x:c>
      <x:c r="C270" s="29" t="str">
        <x:v>尼多王</x:v>
      </x:c>
      <x:c r="D270" s="29" t="str">
        <x:v>PSA 7</x:v>
      </x:c>
      <x:c r="E270" s="29" t="str">
        <x:v>PSA</x:v>
      </x:c>
      <x:c r="F270" s="30" t="n">
        <x:v>102.5</x:v>
      </x:c>
      <x:c r="G270" s="30" t="n">
        <x:v>102.5</x:v>
      </x:c>
      <x:c r="H270" s="29" t="str">
        <x:v>$102.50</x:v>
      </x:c>
      <x:c r="I270" s="31" t="n">
        <x:f>ROUND(G270*J270,0)</x:f>
        <x:v>3311</x:v>
      </x:c>
      <x:c r="J270" s="32" t="n">
        <x:v>32.3</x:v>
      </x:c>
      <x:c r="K270" s="29" t="str">
        <x:v>Auction</x:v>
      </x:c>
      <x:c r="L270" s="29" t="str">
        <x:v>Fanatics</x:v>
      </x:c>
      <x:c r="M270" s="33" t="str">
        <x:v>https://www.fanaticscollect.com/monthly/f7645960-6f22-11ed-b94a-0a58a9feac02</x:v>
      </x:c>
    </x:row>
    <x:row r="271">
      <x:c r="A271" s="28" t="n">
        <x:v>44102</x:v>
      </x:c>
      <x:c r="B271" s="29" t="str">
        <x:v>Alakazam</x:v>
      </x:c>
      <x:c r="C271" s="29" t="str">
        <x:v>胡地</x:v>
      </x:c>
      <x:c r="D271" s="29" t="str">
        <x:v>PSA 7</x:v>
      </x:c>
      <x:c r="E271" s="29" t="str">
        <x:v>PSA</x:v>
      </x:c>
      <x:c r="F271" s="30" t="n">
        <x:v>110.5</x:v>
      </x:c>
      <x:c r="G271" s="30" t="n">
        <x:v>110.5</x:v>
      </x:c>
      <x:c r="H271" s="29" t="str">
        <x:v>$110.50</x:v>
      </x:c>
      <x:c r="I271" s="31" t="n">
        <x:f>ROUND(G271*J271,0)</x:f>
        <x:v>3569</x:v>
      </x:c>
      <x:c r="J271" s="32" t="n">
        <x:v>32.3</x:v>
      </x:c>
      <x:c r="K271" s="29" t="str">
        <x:v>Auction</x:v>
      </x:c>
      <x:c r="L271" s="29" t="str">
        <x:v>Fanatics</x:v>
      </x:c>
      <x:c r="M271" s="33" t="str">
        <x:v>https://www.fanaticscollect.com/monthly/f0561a0a-6f22-11ed-8259-0a58a9feac02</x:v>
      </x:c>
    </x:row>
    <x:row r="272">
      <x:c r="A272" s="28" t="n">
        <x:v>44102</x:v>
      </x:c>
      <x:c r="B272" s="29" t="str">
        <x:v>Chansey</x:v>
      </x:c>
      <x:c r="C272" s="29" t="str">
        <x:v>吉利蛋</x:v>
      </x:c>
      <x:c r="D272" s="29" t="str">
        <x:v>PSA 8</x:v>
      </x:c>
      <x:c r="E272" s="29" t="str">
        <x:v>PSA</x:v>
      </x:c>
      <x:c r="F272" s="30" t="n">
        <x:v>159.5</x:v>
      </x:c>
      <x:c r="G272" s="30" t="n">
        <x:v>159.5</x:v>
      </x:c>
      <x:c r="H272" s="29" t="str">
        <x:v>$159.50</x:v>
      </x:c>
      <x:c r="I272" s="31" t="n">
        <x:f>ROUND(G272*J272,0)</x:f>
        <x:v>5152</x:v>
      </x:c>
      <x:c r="J272" s="32" t="n">
        <x:v>32.3</x:v>
      </x:c>
      <x:c r="K272" s="29" t="str">
        <x:v>Auction</x:v>
      </x:c>
      <x:c r="L272" s="29" t="str">
        <x:v>Fanatics</x:v>
      </x:c>
      <x:c r="M272" s="33" t="str">
        <x:v>https://www.fanaticscollect.com/monthly/f0561ae6-6f22-11ed-afe2-0a58a9feac02</x:v>
      </x:c>
    </x:row>
    <x:row r="273">
      <x:c r="A273" s="28" t="n">
        <x:v>44102</x:v>
      </x:c>
      <x:c r="B273" s="29" t="str">
        <x:v>Machamp</x:v>
      </x:c>
      <x:c r="C273" s="29" t="str">
        <x:v>怪力</x:v>
      </x:c>
      <x:c r="D273" s="29" t="str">
        <x:v>PSA 1</x:v>
      </x:c>
      <x:c r="E273" s="29" t="str">
        <x:v>PSA</x:v>
      </x:c>
      <x:c r="F273" s="30" t="n">
        <x:v>42</x:v>
      </x:c>
      <x:c r="G273" s="30" t="n">
        <x:v>42</x:v>
      </x:c>
      <x:c r="H273" s="29" t="str">
        <x:v>$42</x:v>
      </x:c>
      <x:c r="I273" s="31" t="n">
        <x:f>ROUND(G273*J273,0)</x:f>
        <x:v>1357</x:v>
      </x:c>
      <x:c r="J273" s="32" t="n">
        <x:v>32.3</x:v>
      </x:c>
      <x:c r="K273" s="29" t="str">
        <x:v>Auction</x:v>
      </x:c>
      <x:c r="L273" s="29" t="str">
        <x:v>Fanatics</x:v>
      </x:c>
      <x:c r="M273" s="33" t="str">
        <x:v>https://www.fanaticscollect.com/monthly/f0561c8a-6f22-11ed-9f20-0a58a9feac02</x:v>
      </x:c>
    </x:row>
    <x:row r="274">
      <x:c r="A274" s="28" t="n">
        <x:v>44102</x:v>
      </x:c>
      <x:c r="B274" s="29" t="str">
        <x:v>Magneton</x:v>
      </x:c>
      <x:c r="C274" s="29" t="str">
        <x:v>三磁怪</x:v>
      </x:c>
      <x:c r="D274" s="29" t="str">
        <x:v>PSA 9</x:v>
      </x:c>
      <x:c r="E274" s="29" t="str">
        <x:v>PSA</x:v>
      </x:c>
      <x:c r="F274" s="30" t="n">
        <x:v>271.6</x:v>
      </x:c>
      <x:c r="G274" s="30" t="n">
        <x:v>271.6</x:v>
      </x:c>
      <x:c r="H274" s="29" t="str">
        <x:v>$271.60</x:v>
      </x:c>
      <x:c r="I274" s="31" t="n">
        <x:f>ROUND(G274*J274,0)</x:f>
        <x:v>8773</x:v>
      </x:c>
      <x:c r="J274" s="32" t="n">
        <x:v>32.3</x:v>
      </x:c>
      <x:c r="K274" s="29" t="str">
        <x:v>Auction</x:v>
      </x:c>
      <x:c r="L274" s="29" t="str">
        <x:v>Fanatics</x:v>
      </x:c>
      <x:c r="M274" s="33" t="str">
        <x:v>https://www.fanaticscollect.com/monthly/f0561d5c-6f22-11ed-a7ae-0a58a9feac02</x:v>
      </x:c>
    </x:row>
    <x:row r="275">
      <x:c r="A275" s="28" t="n">
        <x:v>44102</x:v>
      </x:c>
      <x:c r="B275" s="29" t="str">
        <x:v>Raichu</x:v>
      </x:c>
      <x:c r="C275" s="29" t="str">
        <x:v>雷丘</x:v>
      </x:c>
      <x:c r="D275" s="29" t="str">
        <x:v>PSA 6</x:v>
      </x:c>
      <x:c r="E275" s="29" t="str">
        <x:v>PSA</x:v>
      </x:c>
      <x:c r="F275" s="30" t="n">
        <x:v>76.11</x:v>
      </x:c>
      <x:c r="G275" s="30" t="n">
        <x:v>76.11</x:v>
      </x:c>
      <x:c r="H275" s="29" t="str">
        <x:v>$76.11</x:v>
      </x:c>
      <x:c r="I275" s="31" t="n">
        <x:f>ROUND(G275*J275,0)</x:f>
        <x:v>2458</x:v>
      </x:c>
      <x:c r="J275" s="32" t="n">
        <x:v>32.3</x:v>
      </x:c>
      <x:c r="K275" s="29" t="str">
        <x:v>Auction</x:v>
      </x:c>
      <x:c r="L275" s="29" t="str">
        <x:v>Fanatics</x:v>
      </x:c>
      <x:c r="M275" s="33" t="str">
        <x:v>https://www.fanaticscollect.com/monthly/f0561e2e-6f22-11ed-a743-0a58a9feac02</x:v>
      </x:c>
    </x:row>
    <x:row r="276">
      <x:c r="A276" s="28" t="n">
        <x:v>44074</x:v>
      </x:c>
      <x:c r="B276" s="29" t="str">
        <x:v>Ninetales</x:v>
      </x:c>
      <x:c r="C276" s="29" t="str">
        <x:v>九尾</x:v>
      </x:c>
      <x:c r="D276" s="29" t="str">
        <x:v>PSA 9</x:v>
      </x:c>
      <x:c r="E276" s="29" t="str">
        <x:v>PSA</x:v>
      </x:c>
      <x:c r="F276" s="30" t="n">
        <x:v>278.78</x:v>
      </x:c>
      <x:c r="G276" s="30" t="n">
        <x:v>278.78</x:v>
      </x:c>
      <x:c r="H276" s="29" t="str">
        <x:v>$278.78</x:v>
      </x:c>
      <x:c r="I276" s="31" t="n">
        <x:f>ROUND(G276*J276,0)</x:f>
        <x:v>9005</x:v>
      </x:c>
      <x:c r="J276" s="32" t="n">
        <x:v>32.3</x:v>
      </x:c>
      <x:c r="K276" s="29" t="str">
        <x:v>Auction</x:v>
      </x:c>
      <x:c r="L276" s="29" t="str">
        <x:v>Fanatics</x:v>
      </x:c>
      <x:c r="M276" s="33" t="str">
        <x:v>https://www.fanaticscollect.com/monthly/ee50467c-6f22-11ed-924f-0a58a9feac02</x:v>
      </x:c>
    </x:row>
    <x:row r="277">
      <x:c r="A277" s="28" t="n">
        <x:v>44070</x:v>
      </x:c>
      <x:c r="B277" s="29" t="str">
        <x:v>Machamp</x:v>
      </x:c>
      <x:c r="C277" s="29" t="str">
        <x:v>怪力</x:v>
      </x:c>
      <x:c r="D277" s="29" t="str">
        <x:v>BGS 9</x:v>
      </x:c>
      <x:c r="E277" s="29" t="str">
        <x:v>BGS</x:v>
      </x:c>
      <x:c r="F277" s="30" t="n">
        <x:v>310</x:v>
      </x:c>
      <x:c r="G277" s="30" t="n">
        <x:v>310</x:v>
      </x:c>
      <x:c r="H277" s="29" t="str">
        <x:v>$310</x:v>
      </x:c>
      <x:c r="I277" s="31" t="n">
        <x:f>ROUND(G277*J277,0)</x:f>
        <x:v>10013</x:v>
      </x:c>
      <x:c r="J277" s="32" t="n">
        <x:v>32.3</x:v>
      </x:c>
      <x:c r="K277" s="29" t="str">
        <x:v>Auction</x:v>
      </x:c>
      <x:c r="L277" s="29" t="str">
        <x:v>Fanatics</x:v>
      </x:c>
      <x:c r="M277" s="33" t="str">
        <x:v>https://www.fanaticscollect.com/monthly/ee211762-6f22-11ed-941d-0a58a9feac02</x:v>
      </x:c>
    </x:row>
    <x:row r="278">
      <x:c r="A278" s="28" t="n">
        <x:v>44070</x:v>
      </x:c>
      <x:c r="B278" s="29" t="str">
        <x:v>Zapdos</x:v>
      </x:c>
      <x:c r="C278" s="29" t="str">
        <x:v>閃電鳥</x:v>
      </x:c>
      <x:c r="D278" s="29" t="str">
        <x:v>BGS 9</x:v>
      </x:c>
      <x:c r="E278" s="29" t="str">
        <x:v>BGS</x:v>
      </x:c>
      <x:c r="F278" s="30" t="n">
        <x:v>219.5</x:v>
      </x:c>
      <x:c r="G278" s="30" t="n">
        <x:v>219.5</x:v>
      </x:c>
      <x:c r="H278" s="29" t="str">
        <x:v>$219.50</x:v>
      </x:c>
      <x:c r="I278" s="31" t="n">
        <x:f>ROUND(G278*J278,0)</x:f>
        <x:v>7090</x:v>
      </x:c>
      <x:c r="J278" s="32" t="n">
        <x:v>32.3</x:v>
      </x:c>
      <x:c r="K278" s="29" t="str">
        <x:v>Auction</x:v>
      </x:c>
      <x:c r="L278" s="29" t="str">
        <x:v>Fanatics</x:v>
      </x:c>
      <x:c r="M278" s="33" t="str">
        <x:v>https://www.fanaticscollect.com/monthly/ee211ece-6f22-11ed-a4fd-0a58a9feac02</x:v>
      </x:c>
    </x:row>
    <x:row r="279">
      <x:c r="A279" s="28" t="n">
        <x:v>44039</x:v>
      </x:c>
      <x:c r="B279" s="29" t="str">
        <x:v>Alakazam</x:v>
      </x:c>
      <x:c r="C279" s="29" t="str">
        <x:v>胡地</x:v>
      </x:c>
      <x:c r="D279" s="29" t="str">
        <x:v>PSA 9</x:v>
      </x:c>
      <x:c r="E279" s="29" t="str">
        <x:v>PSA</x:v>
      </x:c>
      <x:c r="F279" s="30" t="n">
        <x:v>380</x:v>
      </x:c>
      <x:c r="G279" s="30" t="n">
        <x:v>380</x:v>
      </x:c>
      <x:c r="H279" s="29" t="str">
        <x:v>$380</x:v>
      </x:c>
      <x:c r="I279" s="31" t="n">
        <x:f>ROUND(G279*J279,0)</x:f>
        <x:v>12274</x:v>
      </x:c>
      <x:c r="J279" s="32" t="n">
        <x:v>32.3</x:v>
      </x:c>
      <x:c r="K279" s="29" t="str">
        <x:v>Auction</x:v>
      </x:c>
      <x:c r="L279" s="29" t="str">
        <x:v>Fanatics</x:v>
      </x:c>
      <x:c r="M279" s="33" t="str">
        <x:v>https://www.fanaticscollect.com/monthly/ebaa2794-6f22-11ed-a173-0a58a9feac02</x:v>
      </x:c>
    </x:row>
    <x:row r="280">
      <x:c r="A280" s="28" t="n">
        <x:v>44039</x:v>
      </x:c>
      <x:c r="B280" s="29" t="str">
        <x:v>Chansey</x:v>
      </x:c>
      <x:c r="C280" s="29" t="str">
        <x:v>吉利蛋</x:v>
      </x:c>
      <x:c r="D280" s="29" t="str">
        <x:v>PSA 9</x:v>
      </x:c>
      <x:c r="E280" s="29" t="str">
        <x:v>PSA</x:v>
      </x:c>
      <x:c r="F280" s="30" t="n">
        <x:v>393</x:v>
      </x:c>
      <x:c r="G280" s="30" t="n">
        <x:v>393</x:v>
      </x:c>
      <x:c r="H280" s="29" t="str">
        <x:v>$393</x:v>
      </x:c>
      <x:c r="I280" s="31" t="n">
        <x:f>ROUND(G280*J280,0)</x:f>
        <x:v>12694</x:v>
      </x:c>
      <x:c r="J280" s="32" t="n">
        <x:v>32.3</x:v>
      </x:c>
      <x:c r="K280" s="29" t="str">
        <x:v>Auction</x:v>
      </x:c>
      <x:c r="L280" s="29" t="str">
        <x:v>Fanatics</x:v>
      </x:c>
      <x:c r="M280" s="33" t="str">
        <x:v>https://www.fanaticscollect.com/monthly/ebaa2938-6f22-11ed-90ac-0a58a9feac02</x:v>
      </x:c>
    </x:row>
    <x:row r="281">
      <x:c r="A281" s="28" t="n">
        <x:v>44039</x:v>
      </x:c>
      <x:c r="B281" s="29" t="str">
        <x:v>Gyarados</x:v>
      </x:c>
      <x:c r="C281" s="29" t="str">
        <x:v>暴鯉龍</x:v>
      </x:c>
      <x:c r="D281" s="29" t="str">
        <x:v>PSA 9</x:v>
      </x:c>
      <x:c r="E281" s="29" t="str">
        <x:v>PSA</x:v>
      </x:c>
      <x:c r="F281" s="30" t="n">
        <x:v>405</x:v>
      </x:c>
      <x:c r="G281" s="30" t="n">
        <x:v>405</x:v>
      </x:c>
      <x:c r="H281" s="29" t="str">
        <x:v>$405</x:v>
      </x:c>
      <x:c r="I281" s="31" t="n">
        <x:f>ROUND(G281*J281,0)</x:f>
        <x:v>13081</x:v>
      </x:c>
      <x:c r="J281" s="32" t="n">
        <x:v>32.3</x:v>
      </x:c>
      <x:c r="K281" s="29" t="str">
        <x:v>Auction</x:v>
      </x:c>
      <x:c r="L281" s="29" t="str">
        <x:v>Fanatics</x:v>
      </x:c>
      <x:c r="M281" s="33" t="str">
        <x:v>https://www.fanaticscollect.com/monthly/ebaa2ae6-6f22-11ed-a58d-0a58a9feac02</x:v>
      </x:c>
    </x:row>
    <x:row r="282">
      <x:c r="A282" s="28" t="n">
        <x:v>44039</x:v>
      </x:c>
      <x:c r="B282" s="29" t="str">
        <x:v>Hitmonchan</x:v>
      </x:c>
      <x:c r="C282" s="29" t="str">
        <x:v>快拳郎</x:v>
      </x:c>
      <x:c r="D282" s="29" t="str">
        <x:v>PSA 8</x:v>
      </x:c>
      <x:c r="E282" s="29" t="str">
        <x:v>PSA</x:v>
      </x:c>
      <x:c r="F282" s="30" t="n">
        <x:v>152.5</x:v>
      </x:c>
      <x:c r="G282" s="30" t="n">
        <x:v>152.5</x:v>
      </x:c>
      <x:c r="H282" s="29" t="str">
        <x:v>$152.50</x:v>
      </x:c>
      <x:c r="I282" s="31" t="n">
        <x:f>ROUND(G282*J282,0)</x:f>
        <x:v>4926</x:v>
      </x:c>
      <x:c r="J282" s="32" t="n">
        <x:v>32.3</x:v>
      </x:c>
      <x:c r="K282" s="29" t="str">
        <x:v>Auction</x:v>
      </x:c>
      <x:c r="L282" s="29" t="str">
        <x:v>Fanatics</x:v>
      </x:c>
      <x:c r="M282" s="33" t="str">
        <x:v>https://www.fanaticscollect.com/monthly/ebaa2bc2-6f22-11ed-bef3-0a58a9feac02</x:v>
      </x:c>
    </x:row>
    <x:row r="283">
      <x:c r="A283" s="28" t="n">
        <x:v>44039</x:v>
      </x:c>
      <x:c r="B283" s="29" t="str">
        <x:v>Machamp</x:v>
      </x:c>
      <x:c r="C283" s="29" t="str">
        <x:v>怪力</x:v>
      </x:c>
      <x:c r="D283" s="29" t="str">
        <x:v>PSA 8</x:v>
      </x:c>
      <x:c r="E283" s="29" t="str">
        <x:v>PSA</x:v>
      </x:c>
      <x:c r="F283" s="30" t="n">
        <x:v>271</x:v>
      </x:c>
      <x:c r="G283" s="30" t="n">
        <x:v>271</x:v>
      </x:c>
      <x:c r="H283" s="29" t="str">
        <x:v>$271</x:v>
      </x:c>
      <x:c r="I283" s="31" t="n">
        <x:f>ROUND(G283*J283,0)</x:f>
        <x:v>8753</x:v>
      </x:c>
      <x:c r="J283" s="32" t="n">
        <x:v>32.3</x:v>
      </x:c>
      <x:c r="K283" s="29" t="str">
        <x:v>Auction</x:v>
      </x:c>
      <x:c r="L283" s="29" t="str">
        <x:v>Fanatics</x:v>
      </x:c>
      <x:c r="M283" s="33" t="str">
        <x:v>https://www.fanaticscollect.com/monthly/ebaa2c94-6f22-11ed-9378-0a58a9feac02</x:v>
      </x:c>
    </x:row>
    <x:row r="284">
      <x:c r="A284" s="28" t="n">
        <x:v>44039</x:v>
      </x:c>
      <x:c r="B284" s="29" t="str">
        <x:v>Magneton</x:v>
      </x:c>
      <x:c r="C284" s="29" t="str">
        <x:v>三磁怪</x:v>
      </x:c>
      <x:c r="D284" s="29" t="str">
        <x:v>PSA 8</x:v>
      </x:c>
      <x:c r="E284" s="29" t="str">
        <x:v>PSA</x:v>
      </x:c>
      <x:c r="F284" s="30" t="n">
        <x:v>152.5</x:v>
      </x:c>
      <x:c r="G284" s="30" t="n">
        <x:v>152.5</x:v>
      </x:c>
      <x:c r="H284" s="29" t="str">
        <x:v>$152.50</x:v>
      </x:c>
      <x:c r="I284" s="31" t="n">
        <x:f>ROUND(G284*J284,0)</x:f>
        <x:v>4926</x:v>
      </x:c>
      <x:c r="J284" s="32" t="n">
        <x:v>32.3</x:v>
      </x:c>
      <x:c r="K284" s="29" t="str">
        <x:v>Auction</x:v>
      </x:c>
      <x:c r="L284" s="29" t="str">
        <x:v>Fanatics</x:v>
      </x:c>
      <x:c r="M284" s="33" t="str">
        <x:v>https://www.fanaticscollect.com/monthly/ebaa2d66-6f22-11ed-9d93-0a58a9feac02</x:v>
      </x:c>
    </x:row>
    <x:row r="285">
      <x:c r="A285" s="28" t="n">
        <x:v>44039</x:v>
      </x:c>
      <x:c r="B285" s="29" t="str">
        <x:v>Mewtwo</x:v>
      </x:c>
      <x:c r="C285" s="29" t="str">
        <x:v>超夢</x:v>
      </x:c>
      <x:c r="D285" s="29" t="str">
        <x:v>PSA 9</x:v>
      </x:c>
      <x:c r="E285" s="29" t="str">
        <x:v>PSA</x:v>
      </x:c>
      <x:c r="F285" s="30" t="n">
        <x:v>455</x:v>
      </x:c>
      <x:c r="G285" s="30" t="n">
        <x:v>455</x:v>
      </x:c>
      <x:c r="H285" s="29" t="str">
        <x:v>$455</x:v>
      </x:c>
      <x:c r="I285" s="31" t="n">
        <x:f>ROUND(G285*J285,0)</x:f>
        <x:v>14696</x:v>
      </x:c>
      <x:c r="J285" s="32" t="n">
        <x:v>32.3</x:v>
      </x:c>
      <x:c r="K285" s="29" t="str">
        <x:v>Auction</x:v>
      </x:c>
      <x:c r="L285" s="29" t="str">
        <x:v>Fanatics</x:v>
      </x:c>
      <x:c r="M285" s="33" t="str">
        <x:v>https://www.fanaticscollect.com/monthly/ebaa2e38-6f22-11ed-a070-0a58a9feac02</x:v>
      </x:c>
    </x:row>
    <x:row r="286">
      <x:c r="A286" s="28" t="n">
        <x:v>44039</x:v>
      </x:c>
      <x:c r="B286" s="29" t="str">
        <x:v>Nidoking</x:v>
      </x:c>
      <x:c r="C286" s="29" t="str">
        <x:v>尼多王</x:v>
      </x:c>
      <x:c r="D286" s="29" t="str">
        <x:v>PSA 9</x:v>
      </x:c>
      <x:c r="E286" s="29" t="str">
        <x:v>PSA</x:v>
      </x:c>
      <x:c r="F286" s="30" t="n">
        <x:v>330</x:v>
      </x:c>
      <x:c r="G286" s="30" t="n">
        <x:v>330</x:v>
      </x:c>
      <x:c r="H286" s="29" t="str">
        <x:v>$330</x:v>
      </x:c>
      <x:c r="I286" s="31" t="n">
        <x:f>ROUND(G286*J286,0)</x:f>
        <x:v>10659</x:v>
      </x:c>
      <x:c r="J286" s="32" t="n">
        <x:v>32.3</x:v>
      </x:c>
      <x:c r="K286" s="29" t="str">
        <x:v>Auction</x:v>
      </x:c>
      <x:c r="L286" s="29" t="str">
        <x:v>Fanatics</x:v>
      </x:c>
      <x:c r="M286" s="33" t="str">
        <x:v>https://www.fanaticscollect.com/monthly/ebaa2f0a-6f22-11ed-9e7d-0a58a9feac02</x:v>
      </x:c>
    </x:row>
    <x:row r="287">
      <x:c r="A287" s="28" t="n">
        <x:v>44039</x:v>
      </x:c>
      <x:c r="B287" s="29" t="str">
        <x:v>Poliwrath</x:v>
      </x:c>
      <x:c r="C287" s="29" t="str">
        <x:v>蚊香士</x:v>
      </x:c>
      <x:c r="D287" s="29" t="str">
        <x:v>PSA 9</x:v>
      </x:c>
      <x:c r="E287" s="29" t="str">
        <x:v>PSA</x:v>
      </x:c>
      <x:c r="F287" s="30" t="n">
        <x:v>300</x:v>
      </x:c>
      <x:c r="G287" s="30" t="n">
        <x:v>300</x:v>
      </x:c>
      <x:c r="H287" s="29" t="str">
        <x:v>$300</x:v>
      </x:c>
      <x:c r="I287" s="31" t="n">
        <x:f>ROUND(G287*J287,0)</x:f>
        <x:v>9690</x:v>
      </x:c>
      <x:c r="J287" s="32" t="n">
        <x:v>32.3</x:v>
      </x:c>
      <x:c r="K287" s="29" t="str">
        <x:v>Auction</x:v>
      </x:c>
      <x:c r="L287" s="29" t="str">
        <x:v>Fanatics</x:v>
      </x:c>
      <x:c r="M287" s="33" t="str">
        <x:v>https://www.fanaticscollect.com/monthly/ebaa30ae-6f22-11ed-92b5-0a58a9feac02</x:v>
      </x:c>
    </x:row>
    <x:row r="288">
      <x:c r="A288" s="28" t="n">
        <x:v>44039</x:v>
      </x:c>
      <x:c r="B288" s="29" t="str">
        <x:v>Raichu</x:v>
      </x:c>
      <x:c r="C288" s="29" t="str">
        <x:v>雷丘</x:v>
      </x:c>
      <x:c r="D288" s="29" t="str">
        <x:v>PSA 9</x:v>
      </x:c>
      <x:c r="E288" s="29" t="str">
        <x:v>PSA</x:v>
      </x:c>
      <x:c r="F288" s="30" t="n">
        <x:v>360</x:v>
      </x:c>
      <x:c r="G288" s="30" t="n">
        <x:v>360</x:v>
      </x:c>
      <x:c r="H288" s="29" t="str">
        <x:v>$360</x:v>
      </x:c>
      <x:c r="I288" s="31" t="n">
        <x:f>ROUND(G288*J288,0)</x:f>
        <x:v>11628</x:v>
      </x:c>
      <x:c r="J288" s="32" t="n">
        <x:v>32.3</x:v>
      </x:c>
      <x:c r="K288" s="29" t="str">
        <x:v>Auction</x:v>
      </x:c>
      <x:c r="L288" s="29" t="str">
        <x:v>Fanatics</x:v>
      </x:c>
      <x:c r="M288" s="33" t="str">
        <x:v>https://www.fanaticscollect.com/monthly/ebaa318a-6f22-11ed-b3a6-0a58a9feac02</x:v>
      </x:c>
    </x:row>
    <x:row r="289">
      <x:c r="A289" s="28" t="n">
        <x:v>44039</x:v>
      </x:c>
      <x:c r="B289" s="29" t="str">
        <x:v>Zapdos</x:v>
      </x:c>
      <x:c r="C289" s="29" t="str">
        <x:v>閃電鳥</x:v>
      </x:c>
      <x:c r="D289" s="29" t="str">
        <x:v>PSA 9</x:v>
      </x:c>
      <x:c r="E289" s="29" t="str">
        <x:v>PSA</x:v>
      </x:c>
      <x:c r="F289" s="30" t="n">
        <x:v>380</x:v>
      </x:c>
      <x:c r="G289" s="30" t="n">
        <x:v>380</x:v>
      </x:c>
      <x:c r="H289" s="29" t="str">
        <x:v>$380</x:v>
      </x:c>
      <x:c r="I289" s="31" t="n">
        <x:f>ROUND(G289*J289,0)</x:f>
        <x:v>12274</x:v>
      </x:c>
      <x:c r="J289" s="32" t="n">
        <x:v>32.3</x:v>
      </x:c>
      <x:c r="K289" s="29" t="str">
        <x:v>Auction</x:v>
      </x:c>
      <x:c r="L289" s="29" t="str">
        <x:v>Fanatics</x:v>
      </x:c>
      <x:c r="M289" s="33" t="str">
        <x:v>https://www.fanaticscollect.com/monthly/ebaa332e-6f22-11ed-9982-0a58a9feac02</x:v>
      </x:c>
    </x:row>
    <x:row r="290">
      <x:c r="A290" s="28" t="n">
        <x:v>44010</x:v>
      </x:c>
      <x:c r="B290" s="29" t="str">
        <x:v>Hitmonchan</x:v>
      </x:c>
      <x:c r="C290" s="29" t="str">
        <x:v>快拳郎</x:v>
      </x:c>
      <x:c r="D290" s="29" t="str">
        <x:v>PSA 9</x:v>
      </x:c>
      <x:c r="E290" s="29" t="str">
        <x:v>PSA</x:v>
      </x:c>
      <x:c r="F290" s="30" t="n">
        <x:v>178.07</x:v>
      </x:c>
      <x:c r="G290" s="30" t="n">
        <x:v>178.07</x:v>
      </x:c>
      <x:c r="H290" s="29" t="str">
        <x:v>$178.07</x:v>
      </x:c>
      <x:c r="I290" s="31" t="n">
        <x:f>ROUND(G290*J290,0)</x:f>
        <x:v>5752</x:v>
      </x:c>
      <x:c r="J290" s="32" t="n">
        <x:v>32.3</x:v>
      </x:c>
      <x:c r="K290" s="29" t="str">
        <x:v>Auction</x:v>
      </x:c>
      <x:c r="L290" s="29" t="str">
        <x:v>Fanatics</x:v>
      </x:c>
      <x:c r="M290" s="33" t="str">
        <x:v>https://www.fanaticscollect.com/monthly/e9c92f38-6f22-11ed-80b9-0a58a9feac02</x:v>
      </x:c>
    </x:row>
    <x:row r="291">
      <x:c r="A291" s="28" t="n">
        <x:v>44010</x:v>
      </x:c>
      <x:c r="B291" s="29" t="str">
        <x:v>Magneton</x:v>
      </x:c>
      <x:c r="C291" s="29" t="str">
        <x:v>三磁怪</x:v>
      </x:c>
      <x:c r="D291" s="29" t="str">
        <x:v>PSA 9</x:v>
      </x:c>
      <x:c r="E291" s="29" t="str">
        <x:v>PSA</x:v>
      </x:c>
      <x:c r="F291" s="30" t="n">
        <x:v>166</x:v>
      </x:c>
      <x:c r="G291" s="30" t="n">
        <x:v>166</x:v>
      </x:c>
      <x:c r="H291" s="29" t="str">
        <x:v>$166</x:v>
      </x:c>
      <x:c r="I291" s="31" t="n">
        <x:f>ROUND(G291*J291,0)</x:f>
        <x:v>5362</x:v>
      </x:c>
      <x:c r="J291" s="32" t="n">
        <x:v>32.3</x:v>
      </x:c>
      <x:c r="K291" s="29" t="str">
        <x:v>Auction</x:v>
      </x:c>
      <x:c r="L291" s="29" t="str">
        <x:v>Fanatics</x:v>
      </x:c>
      <x:c r="M291" s="33" t="str">
        <x:v>https://www.fanaticscollect.com/monthly/e9c93014-6f22-11ed-8b46-0a58a9feac02</x:v>
      </x:c>
    </x:row>
    <x:row r="292">
      <x:c r="A292" s="28" t="n">
        <x:v>44010</x:v>
      </x:c>
      <x:c r="B292" s="29" t="str">
        <x:v>Mewtwo</x:v>
      </x:c>
      <x:c r="C292" s="29" t="str">
        <x:v>超夢</x:v>
      </x:c>
      <x:c r="D292" s="29" t="str">
        <x:v>PSA 8</x:v>
      </x:c>
      <x:c r="E292" s="29" t="str">
        <x:v>PSA</x:v>
      </x:c>
      <x:c r="F292" s="30" t="n">
        <x:v>192.5</x:v>
      </x:c>
      <x:c r="G292" s="30" t="n">
        <x:v>192.5</x:v>
      </x:c>
      <x:c r="H292" s="29" t="str">
        <x:v>$192.50</x:v>
      </x:c>
      <x:c r="I292" s="31" t="n">
        <x:f>ROUND(G292*J292,0)</x:f>
        <x:v>6218</x:v>
      </x:c>
      <x:c r="J292" s="32" t="n">
        <x:v>32.3</x:v>
      </x:c>
      <x:c r="K292" s="29" t="str">
        <x:v>Auction</x:v>
      </x:c>
      <x:c r="L292" s="29" t="str">
        <x:v>Fanatics</x:v>
      </x:c>
      <x:c r="M292" s="33" t="str">
        <x:v>https://www.fanaticscollect.com/monthly/e9c93294-6f22-11ed-8450-0a58a9feac02</x:v>
      </x:c>
    </x:row>
    <x:row r="293">
      <x:c r="A293" s="28" t="n">
        <x:v>44010</x:v>
      </x:c>
      <x:c r="B293" s="29" t="str">
        <x:v>Nidoking</x:v>
      </x:c>
      <x:c r="C293" s="29" t="str">
        <x:v>尼多王</x:v>
      </x:c>
      <x:c r="D293" s="29" t="str">
        <x:v>PSA 9</x:v>
      </x:c>
      <x:c r="E293" s="29" t="str">
        <x:v>PSA</x:v>
      </x:c>
      <x:c r="F293" s="30" t="n">
        <x:v>177.5</x:v>
      </x:c>
      <x:c r="G293" s="30" t="n">
        <x:v>177.5</x:v>
      </x:c>
      <x:c r="H293" s="29" t="str">
        <x:v>$177.50</x:v>
      </x:c>
      <x:c r="I293" s="31" t="n">
        <x:f>ROUND(G293*J293,0)</x:f>
        <x:v>5733</x:v>
      </x:c>
      <x:c r="J293" s="32" t="n">
        <x:v>32.3</x:v>
      </x:c>
      <x:c r="K293" s="29" t="str">
        <x:v>Auction</x:v>
      </x:c>
      <x:c r="L293" s="29" t="str">
        <x:v>Fanatics</x:v>
      </x:c>
      <x:c r="M293" s="33" t="str">
        <x:v>https://www.fanaticscollect.com/monthly/e9c93366-6f22-11ed-9551-0a58a9feac02</x:v>
      </x:c>
    </x:row>
    <x:row r="294">
      <x:c r="A294" s="28" t="n">
        <x:v>43613</x:v>
      </x:c>
      <x:c r="B294" s="29" t="str">
        <x:v>Alakazam</x:v>
      </x:c>
      <x:c r="C294" s="29" t="str">
        <x:v>胡地</x:v>
      </x:c>
      <x:c r="D294" s="29" t="str">
        <x:v>PSA 8</x:v>
      </x:c>
      <x:c r="E294" s="29" t="str">
        <x:v>PSA</x:v>
      </x:c>
      <x:c r="F294" s="30" t="n">
        <x:v>86</x:v>
      </x:c>
      <x:c r="G294" s="30" t="n">
        <x:v>86</x:v>
      </x:c>
      <x:c r="H294" s="29" t="str">
        <x:v>$86</x:v>
      </x:c>
      <x:c r="I294" s="31" t="n">
        <x:f>ROUND(G294*J294,0)</x:f>
        <x:v>2778</x:v>
      </x:c>
      <x:c r="J294" s="32" t="n">
        <x:v>32.3</x:v>
      </x:c>
      <x:c r="K294" s="29" t="str">
        <x:v>Auction</x:v>
      </x:c>
      <x:c r="L294" s="29" t="str">
        <x:v>Fanatics</x:v>
      </x:c>
      <x:c r="M294" s="33" t="str">
        <x:v>/items/MONTHLY1990880</x:v>
      </x:c>
    </x:row>
    <x:row r="295">
      <x:c r="A295" s="28" t="n">
        <x:v>43613</x:v>
      </x:c>
      <x:c r="B295" s="29" t="str">
        <x:v>Chansey</x:v>
      </x:c>
      <x:c r="C295" s="29" t="str">
        <x:v>吉利蛋</x:v>
      </x:c>
      <x:c r="D295" s="29" t="str">
        <x:v>PSA 9</x:v>
      </x:c>
      <x:c r="E295" s="29" t="str">
        <x:v>PSA</x:v>
      </x:c>
      <x:c r="F295" s="30" t="n">
        <x:v>102.5</x:v>
      </x:c>
      <x:c r="G295" s="30" t="n">
        <x:v>102.5</x:v>
      </x:c>
      <x:c r="H295" s="29" t="str">
        <x:v>$102.50</x:v>
      </x:c>
      <x:c r="I295" s="31" t="n">
        <x:f>ROUND(G295*J295,0)</x:f>
        <x:v>3311</x:v>
      </x:c>
      <x:c r="J295" s="32" t="n">
        <x:v>32.3</x:v>
      </x:c>
      <x:c r="K295" s="29" t="str">
        <x:v>Auction</x:v>
      </x:c>
      <x:c r="L295" s="29" t="str">
        <x:v>Fanatics</x:v>
      </x:c>
      <x:c r="M295" s="33" t="str">
        <x:v>/items/MONTHLY1990885</x:v>
      </x:c>
    </x:row>
    <x:row r="296">
      <x:c r="A296" s="28" t="n">
        <x:v>43613</x:v>
      </x:c>
      <x:c r="B296" s="29" t="str">
        <x:v>Gyarados</x:v>
      </x:c>
      <x:c r="C296" s="29" t="str">
        <x:v>暴鯉龍</x:v>
      </x:c>
      <x:c r="D296" s="29" t="str">
        <x:v>PSA 9</x:v>
      </x:c>
      <x:c r="E296" s="29" t="str">
        <x:v>PSA</x:v>
      </x:c>
      <x:c r="F296" s="30" t="n">
        <x:v>127.5</x:v>
      </x:c>
      <x:c r="G296" s="30" t="n">
        <x:v>127.5</x:v>
      </x:c>
      <x:c r="H296" s="29" t="str">
        <x:v>$127.50</x:v>
      </x:c>
      <x:c r="I296" s="31" t="n">
        <x:f>ROUND(G296*J296,0)</x:f>
        <x:v>4118</x:v>
      </x:c>
      <x:c r="J296" s="32" t="n">
        <x:v>32.3</x:v>
      </x:c>
      <x:c r="K296" s="29" t="str">
        <x:v>Auction</x:v>
      </x:c>
      <x:c r="L296" s="29" t="str">
        <x:v>Fanatics</x:v>
      </x:c>
      <x:c r="M296" s="33" t="str">
        <x:v>/items/MONTHLY1990897</x:v>
      </x:c>
    </x:row>
    <x:row r="297">
      <x:c r="A297" s="28" t="n">
        <x:v>43613</x:v>
      </x:c>
      <x:c r="B297" s="29" t="str">
        <x:v>Hitmonchan</x:v>
      </x:c>
      <x:c r="C297" s="29" t="str">
        <x:v>快拳郎</x:v>
      </x:c>
      <x:c r="D297" s="29" t="str">
        <x:v>PSA 8</x:v>
      </x:c>
      <x:c r="E297" s="29" t="str">
        <x:v>PSA</x:v>
      </x:c>
      <x:c r="F297" s="30" t="n">
        <x:v>51</x:v>
      </x:c>
      <x:c r="G297" s="30" t="n">
        <x:v>51</x:v>
      </x:c>
      <x:c r="H297" s="29" t="str">
        <x:v>$51</x:v>
      </x:c>
      <x:c r="I297" s="31" t="n">
        <x:f>ROUND(G297*J297,0)</x:f>
        <x:v>1647</x:v>
      </x:c>
      <x:c r="J297" s="32" t="n">
        <x:v>32.3</x:v>
      </x:c>
      <x:c r="K297" s="29" t="str">
        <x:v>Auction</x:v>
      </x:c>
      <x:c r="L297" s="29" t="str">
        <x:v>Fanatics</x:v>
      </x:c>
      <x:c r="M297" s="33" t="str">
        <x:v>/items/MONTHLY1990900</x:v>
      </x:c>
    </x:row>
    <x:row r="298">
      <x:c r="A298" s="28" t="n">
        <x:v>43613</x:v>
      </x:c>
      <x:c r="B298" s="29" t="str">
        <x:v>Machamp</x:v>
      </x:c>
      <x:c r="C298" s="29" t="str">
        <x:v>怪力</x:v>
      </x:c>
      <x:c r="D298" s="29" t="str">
        <x:v>PSA 9</x:v>
      </x:c>
      <x:c r="E298" s="29" t="str">
        <x:v>PSA</x:v>
      </x:c>
      <x:c r="F298" s="30" t="n">
        <x:v>19.5</x:v>
      </x:c>
      <x:c r="G298" s="30" t="n">
        <x:v>19.5</x:v>
      </x:c>
      <x:c r="H298" s="29" t="str">
        <x:v>$19.50</x:v>
      </x:c>
      <x:c r="I298" s="31" t="n">
        <x:f>ROUND(G298*J298,0)</x:f>
        <x:v>630</x:v>
      </x:c>
      <x:c r="J298" s="32" t="n">
        <x:v>32.3</x:v>
      </x:c>
      <x:c r="K298" s="29" t="str">
        <x:v>Auction</x:v>
      </x:c>
      <x:c r="L298" s="29" t="str">
        <x:v>Fanatics</x:v>
      </x:c>
      <x:c r="M298" s="33" t="str">
        <x:v>/items/MONTHLY1990902</x:v>
      </x:c>
    </x:row>
    <x:row r="299">
      <x:c r="A299" s="28" t="n">
        <x:v>43613</x:v>
      </x:c>
      <x:c r="B299" s="29" t="str">
        <x:v>Magneton</x:v>
      </x:c>
      <x:c r="C299" s="29" t="str">
        <x:v>三磁怪</x:v>
      </x:c>
      <x:c r="D299" s="29" t="str">
        <x:v>PSA 8</x:v>
      </x:c>
      <x:c r="E299" s="29" t="str">
        <x:v>PSA</x:v>
      </x:c>
      <x:c r="F299" s="30" t="n">
        <x:v>11.5</x:v>
      </x:c>
      <x:c r="G299" s="30" t="n">
        <x:v>11.5</x:v>
      </x:c>
      <x:c r="H299" s="29" t="str">
        <x:v>$11.50</x:v>
      </x:c>
      <x:c r="I299" s="31" t="n">
        <x:f>ROUND(G299*J299,0)</x:f>
        <x:v>371</x:v>
      </x:c>
      <x:c r="J299" s="32" t="n">
        <x:v>32.3</x:v>
      </x:c>
      <x:c r="K299" s="29" t="str">
        <x:v>Auction</x:v>
      </x:c>
      <x:c r="L299" s="29" t="str">
        <x:v>Fanatics</x:v>
      </x:c>
      <x:c r="M299" s="33" t="str">
        <x:v>/items/MONTHLY1990909</x:v>
      </x:c>
    </x:row>
    <x:row r="300">
      <x:c r="A300" s="28" t="n">
        <x:v>43613</x:v>
      </x:c>
      <x:c r="B300" s="29" t="str">
        <x:v>Mewtwo</x:v>
      </x:c>
      <x:c r="C300" s="29" t="str">
        <x:v>超夢</x:v>
      </x:c>
      <x:c r="D300" s="29" t="str">
        <x:v>PSA 9</x:v>
      </x:c>
      <x:c r="E300" s="29" t="str">
        <x:v>PSA</x:v>
      </x:c>
      <x:c r="F300" s="30" t="n">
        <x:v>63</x:v>
      </x:c>
      <x:c r="G300" s="30" t="n">
        <x:v>63</x:v>
      </x:c>
      <x:c r="H300" s="29" t="str">
        <x:v>$63</x:v>
      </x:c>
      <x:c r="I300" s="31" t="n">
        <x:f>ROUND(G300*J300,0)</x:f>
        <x:v>2035</x:v>
      </x:c>
      <x:c r="J300" s="32" t="n">
        <x:v>32.3</x:v>
      </x:c>
      <x:c r="K300" s="29" t="str">
        <x:v>Auction</x:v>
      </x:c>
      <x:c r="L300" s="29" t="str">
        <x:v>Fanatics</x:v>
      </x:c>
      <x:c r="M300" s="33" t="str">
        <x:v>/items/MONTHLY1990914</x:v>
      </x:c>
    </x:row>
    <x:row r="301">
      <x:c r="A301" s="28" t="n">
        <x:v>43613</x:v>
      </x:c>
      <x:c r="B301" s="29" t="str">
        <x:v>Nidoking</x:v>
      </x:c>
      <x:c r="C301" s="29" t="str">
        <x:v>尼多王</x:v>
      </x:c>
      <x:c r="D301" s="29" t="str">
        <x:v>PSA 9</x:v>
      </x:c>
      <x:c r="E301" s="29" t="str">
        <x:v>PSA</x:v>
      </x:c>
      <x:c r="F301" s="30" t="n">
        <x:v>51</x:v>
      </x:c>
      <x:c r="G301" s="30" t="n">
        <x:v>51</x:v>
      </x:c>
      <x:c r="H301" s="29" t="str">
        <x:v>$51</x:v>
      </x:c>
      <x:c r="I301" s="31" t="n">
        <x:f>ROUND(G301*J301,0)</x:f>
        <x:v>1647</x:v>
      </x:c>
      <x:c r="J301" s="32" t="n">
        <x:v>32.3</x:v>
      </x:c>
      <x:c r="K301" s="29" t="str">
        <x:v>Auction</x:v>
      </x:c>
      <x:c r="L301" s="29" t="str">
        <x:v>Fanatics</x:v>
      </x:c>
      <x:c r="M301" s="33" t="str">
        <x:v>/items/MONTHLY1990918</x:v>
      </x:c>
    </x:row>
    <x:row r="302">
      <x:c r="A302" s="28" t="n">
        <x:v>43613</x:v>
      </x:c>
      <x:c r="B302" s="29" t="str">
        <x:v>Ninetales</x:v>
      </x:c>
      <x:c r="C302" s="29" t="str">
        <x:v>九尾</x:v>
      </x:c>
      <x:c r="D302" s="29" t="str">
        <x:v>PSA 9</x:v>
      </x:c>
      <x:c r="E302" s="29" t="str">
        <x:v>PSA</x:v>
      </x:c>
      <x:c r="F302" s="30" t="n">
        <x:v>31.57</x:v>
      </x:c>
      <x:c r="G302" s="30" t="n">
        <x:v>31.57</x:v>
      </x:c>
      <x:c r="H302" s="29" t="str">
        <x:v>$31.57</x:v>
      </x:c>
      <x:c r="I302" s="31" t="n">
        <x:f>ROUND(G302*J302,0)</x:f>
        <x:v>1020</x:v>
      </x:c>
      <x:c r="J302" s="32" t="n">
        <x:v>32.3</x:v>
      </x:c>
      <x:c r="K302" s="29" t="str">
        <x:v>Auction</x:v>
      </x:c>
      <x:c r="L302" s="29" t="str">
        <x:v>Fanatics</x:v>
      </x:c>
      <x:c r="M302" s="33" t="str">
        <x:v>/items/MONTHLY1990922</x:v>
      </x:c>
    </x:row>
    <x:row r="303">
      <x:c r="A303" s="28" t="n">
        <x:v>43613</x:v>
      </x:c>
      <x:c r="B303" s="29" t="str">
        <x:v>Poliwrath</x:v>
      </x:c>
      <x:c r="C303" s="29" t="str">
        <x:v>蚊香士</x:v>
      </x:c>
      <x:c r="D303" s="29" t="str">
        <x:v>PSA 9</x:v>
      </x:c>
      <x:c r="E303" s="29" t="str">
        <x:v>PSA</x:v>
      </x:c>
      <x:c r="F303" s="30" t="n">
        <x:v>31.57</x:v>
      </x:c>
      <x:c r="G303" s="30" t="n">
        <x:v>31.57</x:v>
      </x:c>
      <x:c r="H303" s="29" t="str">
        <x:v>$31.57</x:v>
      </x:c>
      <x:c r="I303" s="31" t="n">
        <x:f>ROUND(G303*J303,0)</x:f>
        <x:v>1020</x:v>
      </x:c>
      <x:c r="J303" s="32" t="n">
        <x:v>32.3</x:v>
      </x:c>
      <x:c r="K303" s="29" t="str">
        <x:v>Auction</x:v>
      </x:c>
      <x:c r="L303" s="29" t="str">
        <x:v>Fanatics</x:v>
      </x:c>
      <x:c r="M303" s="33" t="str">
        <x:v>/items/MONTHLY1990924</x:v>
      </x:c>
    </x:row>
    <x:row r="304">
      <x:c r="A304" s="28" t="n">
        <x:v>43613</x:v>
      </x:c>
      <x:c r="B304" s="29" t="str">
        <x:v>Raichu</x:v>
      </x:c>
      <x:c r="C304" s="29" t="str">
        <x:v>雷丘</x:v>
      </x:c>
      <x:c r="D304" s="29" t="str">
        <x:v>PSA 9</x:v>
      </x:c>
      <x:c r="E304" s="29" t="str">
        <x:v>PSA</x:v>
      </x:c>
      <x:c r="F304" s="30" t="n">
        <x:v>81</x:v>
      </x:c>
      <x:c r="G304" s="30" t="n">
        <x:v>81</x:v>
      </x:c>
      <x:c r="H304" s="29" t="str">
        <x:v>$81</x:v>
      </x:c>
      <x:c r="I304" s="31" t="n">
        <x:f>ROUND(G304*J304,0)</x:f>
        <x:v>2616</x:v>
      </x:c>
      <x:c r="J304" s="32" t="n">
        <x:v>32.3</x:v>
      </x:c>
      <x:c r="K304" s="29" t="str">
        <x:v>Auction</x:v>
      </x:c>
      <x:c r="L304" s="29" t="str">
        <x:v>Fanatics</x:v>
      </x:c>
      <x:c r="M304" s="33" t="str">
        <x:v>/items/MONTHLY1990927</x:v>
      </x:c>
    </x:row>
    <x:row r="305">
      <x:c r="A305" s="28" t="n">
        <x:v>43613</x:v>
      </x:c>
      <x:c r="B305" s="29" t="str">
        <x:v>Zapdos</x:v>
      </x:c>
      <x:c r="C305" s="29" t="str">
        <x:v>閃電鳥</x:v>
      </x:c>
      <x:c r="D305" s="29" t="str">
        <x:v>PSA 9</x:v>
      </x:c>
      <x:c r="E305" s="29" t="str">
        <x:v>PSA</x:v>
      </x:c>
      <x:c r="F305" s="30" t="n">
        <x:v>100</x:v>
      </x:c>
      <x:c r="G305" s="30" t="n">
        <x:v>100</x:v>
      </x:c>
      <x:c r="H305" s="29" t="str">
        <x:v>$100</x:v>
      </x:c>
      <x:c r="I305" s="31" t="n">
        <x:f>ROUND(G305*J305,0)</x:f>
        <x:v>3230</x:v>
      </x:c>
      <x:c r="J305" s="32" t="n">
        <x:v>32.3</x:v>
      </x:c>
      <x:c r="K305" s="29" t="str">
        <x:v>Auction</x:v>
      </x:c>
      <x:c r="L305" s="29" t="str">
        <x:v>Fanatics</x:v>
      </x:c>
      <x:c r="M305" s="33" t="str">
        <x:v>/items/MONTHLY1990932</x:v>
      </x:c>
    </x:row>
    <x:row r="306">
      <x:c r="A306" s="28" t="n">
        <x:v>43551</x:v>
      </x:c>
      <x:c r="B306" s="29" t="str">
        <x:v>Chansey</x:v>
      </x:c>
      <x:c r="C306" s="29" t="str">
        <x:v>吉利蛋</x:v>
      </x:c>
      <x:c r="D306" s="29" t="str">
        <x:v>PSA 9</x:v>
      </x:c>
      <x:c r="E306" s="29" t="str">
        <x:v>PSA</x:v>
      </x:c>
      <x:c r="F306" s="30" t="n">
        <x:v>45</x:v>
      </x:c>
      <x:c r="G306" s="30" t="n">
        <x:v>45</x:v>
      </x:c>
      <x:c r="H306" s="29" t="str">
        <x:v>$45</x:v>
      </x:c>
      <x:c r="I306" s="31" t="n">
        <x:f>ROUND(G306*J306,0)</x:f>
        <x:v>1453</x:v>
      </x:c>
      <x:c r="J306" s="32" t="n">
        <x:v>32.3</x:v>
      </x:c>
      <x:c r="K306" s="29" t="str">
        <x:v>Auction</x:v>
      </x:c>
      <x:c r="L306" s="29" t="str">
        <x:v>Fanatics</x:v>
      </x:c>
      <x:c r="M306" s="33" t="str">
        <x:v>/items/MONTHLY1937321</x:v>
      </x:c>
    </x:row>
    <x:row r="307">
      <x:c r="A307" s="28" t="n">
        <x:v>43451</x:v>
      </x:c>
      <x:c r="B307" s="29" t="str">
        <x:v>Chansey</x:v>
      </x:c>
      <x:c r="C307" s="29" t="str">
        <x:v>吉利蛋</x:v>
      </x:c>
      <x:c r="D307" s="29" t="str">
        <x:v>PSA 8</x:v>
      </x:c>
      <x:c r="E307" s="29" t="str">
        <x:v>PSA</x:v>
      </x:c>
      <x:c r="F307" s="30" t="n">
        <x:v>41</x:v>
      </x:c>
      <x:c r="G307" s="30" t="n">
        <x:v>41</x:v>
      </x:c>
      <x:c r="H307" s="29" t="str">
        <x:v>$41</x:v>
      </x:c>
      <x:c r="I307" s="31" t="n">
        <x:f>ROUND(G307*J307,0)</x:f>
        <x:v>1324</x:v>
      </x:c>
      <x:c r="J307" s="32" t="n">
        <x:v>32.3</x:v>
      </x:c>
      <x:c r="K307" s="29" t="str">
        <x:v>Auction</x:v>
      </x:c>
      <x:c r="L307" s="29" t="str">
        <x:v>Fanatics</x:v>
      </x:c>
      <x:c r="M307" s="33" t="str">
        <x:v>/items/MONTHLY1877297</x:v>
      </x:c>
    </x:row>
    <x:row r="308">
      <x:c r="A308" s="28" t="n">
        <x:v>43451</x:v>
      </x:c>
      <x:c r="B308" s="29" t="str">
        <x:v>Raichu</x:v>
      </x:c>
      <x:c r="C308" s="29" t="str">
        <x:v>雷丘</x:v>
      </x:c>
      <x:c r="D308" s="29" t="str">
        <x:v>PSA 8</x:v>
      </x:c>
      <x:c r="E308" s="29" t="str">
        <x:v>PSA</x:v>
      </x:c>
      <x:c r="F308" s="30" t="n">
        <x:v>31</x:v>
      </x:c>
      <x:c r="G308" s="30" t="n">
        <x:v>31</x:v>
      </x:c>
      <x:c r="H308" s="29" t="str">
        <x:v>$31</x:v>
      </x:c>
      <x:c r="I308" s="31" t="n">
        <x:f>ROUND(G308*J308,0)</x:f>
        <x:v>1001</x:v>
      </x:c>
      <x:c r="J308" s="32" t="n">
        <x:v>32.3</x:v>
      </x:c>
      <x:c r="K308" s="29" t="str">
        <x:v>Auction</x:v>
      </x:c>
      <x:c r="L308" s="29" t="str">
        <x:v>Fanatics</x:v>
      </x:c>
      <x:c r="M308" s="33" t="str">
        <x:v>/items/MONTHLY1877457</x:v>
      </x:c>
    </x:row>
    <x:row r="309">
      <x:c r="A309" s="28" t="n">
        <x:v>43424</x:v>
      </x:c>
      <x:c r="B309" s="29" t="str">
        <x:v>Alakazam</x:v>
      </x:c>
      <x:c r="C309" s="29" t="str">
        <x:v>胡地</x:v>
      </x:c>
      <x:c r="D309" s="29" t="str">
        <x:v>PSA 7</x:v>
      </x:c>
      <x:c r="E309" s="29" t="str">
        <x:v>PSA</x:v>
      </x:c>
      <x:c r="F309" s="30" t="n">
        <x:v>21.5</x:v>
      </x:c>
      <x:c r="G309" s="30" t="n">
        <x:v>21.5</x:v>
      </x:c>
      <x:c r="H309" s="29" t="str">
        <x:v>$21.50</x:v>
      </x:c>
      <x:c r="I309" s="31" t="n">
        <x:f>ROUND(G309*J309,0)</x:f>
        <x:v>694</x:v>
      </x:c>
      <x:c r="J309" s="32" t="n">
        <x:v>32.3</x:v>
      </x:c>
      <x:c r="K309" s="29" t="str">
        <x:v>Auction</x:v>
      </x:c>
      <x:c r="L309" s="29" t="str">
        <x:v>Fanatics</x:v>
      </x:c>
      <x:c r="M309" s="33" t="str">
        <x:v>/items/MONTHLY1862476</x:v>
      </x:c>
    </x:row>
    <x:row r="310">
      <x:c r="A310" s="28" t="n">
        <x:v>43424</x:v>
      </x:c>
      <x:c r="B310" s="29" t="str">
        <x:v>Chansey</x:v>
      </x:c>
      <x:c r="C310" s="29" t="str">
        <x:v>吉利蛋</x:v>
      </x:c>
      <x:c r="D310" s="29" t="str">
        <x:v>PSA 8</x:v>
      </x:c>
      <x:c r="E310" s="29" t="str">
        <x:v>PSA</x:v>
      </x:c>
      <x:c r="F310" s="30" t="n">
        <x:v>43</x:v>
      </x:c>
      <x:c r="G310" s="30" t="n">
        <x:v>43</x:v>
      </x:c>
      <x:c r="H310" s="29" t="str">
        <x:v>$43</x:v>
      </x:c>
      <x:c r="I310" s="31" t="n">
        <x:f>ROUND(G310*J310,0)</x:f>
        <x:v>1389</x:v>
      </x:c>
      <x:c r="J310" s="32" t="n">
        <x:v>32.3</x:v>
      </x:c>
      <x:c r="K310" s="29" t="str">
        <x:v>Auction</x:v>
      </x:c>
      <x:c r="L310" s="29" t="str">
        <x:v>Fanatics</x:v>
      </x:c>
      <x:c r="M310" s="33" t="str">
        <x:v>/items/MONTHLY1862490</x:v>
      </x:c>
    </x:row>
    <x:row r="311">
      <x:c r="A311" s="28" t="n">
        <x:v>43424</x:v>
      </x:c>
      <x:c r="B311" s="29" t="str">
        <x:v>Gyarados</x:v>
      </x:c>
      <x:c r="C311" s="29" t="str">
        <x:v>暴鯉龍</x:v>
      </x:c>
      <x:c r="D311" s="29" t="str">
        <x:v>PSA 9</x:v>
      </x:c>
      <x:c r="E311" s="29" t="str">
        <x:v>PSA</x:v>
      </x:c>
      <x:c r="F311" s="30" t="n">
        <x:v>43</x:v>
      </x:c>
      <x:c r="G311" s="30" t="n">
        <x:v>43</x:v>
      </x:c>
      <x:c r="H311" s="29" t="str">
        <x:v>$43</x:v>
      </x:c>
      <x:c r="I311" s="31" t="n">
        <x:f>ROUND(G311*J311,0)</x:f>
        <x:v>1389</x:v>
      </x:c>
      <x:c r="J311" s="32" t="n">
        <x:v>32.3</x:v>
      </x:c>
      <x:c r="K311" s="29" t="str">
        <x:v>Auction</x:v>
      </x:c>
      <x:c r="L311" s="29" t="str">
        <x:v>Fanatics</x:v>
      </x:c>
      <x:c r="M311" s="33" t="str">
        <x:v>/items/MONTHLY1862524</x:v>
      </x:c>
    </x:row>
    <x:row r="312">
      <x:c r="A312" s="28" t="n">
        <x:v>43424</x:v>
      </x:c>
      <x:c r="B312" s="29" t="str">
        <x:v>Magneton</x:v>
      </x:c>
      <x:c r="C312" s="29" t="str">
        <x:v>三磁怪</x:v>
      </x:c>
      <x:c r="D312" s="29" t="str">
        <x:v>PSA 9</x:v>
      </x:c>
      <x:c r="E312" s="29" t="str">
        <x:v>PSA</x:v>
      </x:c>
      <x:c r="F312" s="30" t="n">
        <x:v>43</x:v>
      </x:c>
      <x:c r="G312" s="30" t="n">
        <x:v>43</x:v>
      </x:c>
      <x:c r="H312" s="29" t="str">
        <x:v>$43</x:v>
      </x:c>
      <x:c r="I312" s="31" t="n">
        <x:f>ROUND(G312*J312,0)</x:f>
        <x:v>1389</x:v>
      </x:c>
      <x:c r="J312" s="32" t="n">
        <x:v>32.3</x:v>
      </x:c>
      <x:c r="K312" s="29" t="str">
        <x:v>Auction</x:v>
      </x:c>
      <x:c r="L312" s="29" t="str">
        <x:v>Fanatics</x:v>
      </x:c>
      <x:c r="M312" s="33" t="str">
        <x:v>/items/MONTHLY1862548</x:v>
      </x:c>
    </x:row>
    <x:row r="313">
      <x:c r="A313" s="28" t="n">
        <x:v>43424</x:v>
      </x:c>
      <x:c r="B313" s="29" t="str">
        <x:v>Magneton</x:v>
      </x:c>
      <x:c r="C313" s="29" t="str">
        <x:v>三磁怪</x:v>
      </x:c>
      <x:c r="D313" s="29" t="str">
        <x:v>PSA 8</x:v>
      </x:c>
      <x:c r="E313" s="29" t="str">
        <x:v>PSA</x:v>
      </x:c>
      <x:c r="F313" s="30" t="n">
        <x:v>17.49</x:v>
      </x:c>
      <x:c r="G313" s="30" t="n">
        <x:v>17.49</x:v>
      </x:c>
      <x:c r="H313" s="29" t="str">
        <x:v>$17.49</x:v>
      </x:c>
      <x:c r="I313" s="31" t="n">
        <x:f>ROUND(G313*J313,0)</x:f>
        <x:v>565</x:v>
      </x:c>
      <x:c r="J313" s="32" t="n">
        <x:v>32.3</x:v>
      </x:c>
      <x:c r="K313" s="29" t="str">
        <x:v>Auction</x:v>
      </x:c>
      <x:c r="L313" s="29" t="str">
        <x:v>Fanatics</x:v>
      </x:c>
      <x:c r="M313" s="33" t="str">
        <x:v>/items/MONTHLY1862547</x:v>
      </x:c>
    </x:row>
    <x:row r="314">
      <x:c r="A314" s="28" t="n">
        <x:v>43424</x:v>
      </x:c>
      <x:c r="B314" s="29" t="str">
        <x:v>Magneton</x:v>
      </x:c>
      <x:c r="C314" s="29" t="str">
        <x:v>三磁怪</x:v>
      </x:c>
      <x:c r="D314" s="29" t="str">
        <x:v>PSA 7</x:v>
      </x:c>
      <x:c r="E314" s="29" t="str">
        <x:v>PSA</x:v>
      </x:c>
      <x:c r="F314" s="30" t="n">
        <x:v>12.25</x:v>
      </x:c>
      <x:c r="G314" s="30" t="n">
        <x:v>12.25</x:v>
      </x:c>
      <x:c r="H314" s="29" t="str">
        <x:v>$12.25</x:v>
      </x:c>
      <x:c r="I314" s="31" t="n">
        <x:f>ROUND(G314*J314,0)</x:f>
        <x:v>396</x:v>
      </x:c>
      <x:c r="J314" s="32" t="n">
        <x:v>32.3</x:v>
      </x:c>
      <x:c r="K314" s="29" t="str">
        <x:v>Auction</x:v>
      </x:c>
      <x:c r="L314" s="29" t="str">
        <x:v>Fanatics</x:v>
      </x:c>
      <x:c r="M314" s="33" t="str">
        <x:v>/items/MONTHLY1862546</x:v>
      </x:c>
    </x:row>
    <x:row r="315">
      <x:c r="A315" s="28" t="n">
        <x:v>43424</x:v>
      </x:c>
      <x:c r="B315" s="29" t="str">
        <x:v>Mewtwo</x:v>
      </x:c>
      <x:c r="C315" s="29" t="str">
        <x:v>超夢</x:v>
      </x:c>
      <x:c r="D315" s="29" t="str">
        <x:v>PSA 9</x:v>
      </x:c>
      <x:c r="E315" s="29" t="str">
        <x:v>PSA</x:v>
      </x:c>
      <x:c r="F315" s="30" t="n">
        <x:v>45</x:v>
      </x:c>
      <x:c r="G315" s="30" t="n">
        <x:v>45</x:v>
      </x:c>
      <x:c r="H315" s="29" t="str">
        <x:v>$45</x:v>
      </x:c>
      <x:c r="I315" s="31" t="n">
        <x:f>ROUND(G315*J315,0)</x:f>
        <x:v>1453</x:v>
      </x:c>
      <x:c r="J315" s="32" t="n">
        <x:v>32.3</x:v>
      </x:c>
      <x:c r="K315" s="29" t="str">
        <x:v>Auction</x:v>
      </x:c>
      <x:c r="L315" s="29" t="str">
        <x:v>Fanatics</x:v>
      </x:c>
      <x:c r="M315" s="33" t="str">
        <x:v>/items/MONTHLY1862556</x:v>
      </x:c>
    </x:row>
    <x:row r="316">
      <x:c r="A316" s="28" t="n">
        <x:v>43424</x:v>
      </x:c>
      <x:c r="B316" s="29" t="str">
        <x:v>Ninetales</x:v>
      </x:c>
      <x:c r="C316" s="29" t="str">
        <x:v>九尾</x:v>
      </x:c>
      <x:c r="D316" s="29" t="str">
        <x:v>PSA 9</x:v>
      </x:c>
      <x:c r="E316" s="29" t="str">
        <x:v>PSA</x:v>
      </x:c>
      <x:c r="F316" s="30" t="n">
        <x:v>39</x:v>
      </x:c>
      <x:c r="G316" s="30" t="n">
        <x:v>39</x:v>
      </x:c>
      <x:c r="H316" s="29" t="str">
        <x:v>$39</x:v>
      </x:c>
      <x:c r="I316" s="31" t="n">
        <x:f>ROUND(G316*J316,0)</x:f>
        <x:v>1260</x:v>
      </x:c>
      <x:c r="J316" s="32" t="n">
        <x:v>32.3</x:v>
      </x:c>
      <x:c r="K316" s="29" t="str">
        <x:v>Auction</x:v>
      </x:c>
      <x:c r="L316" s="29" t="str">
        <x:v>Fanatics</x:v>
      </x:c>
      <x:c r="M316" s="33" t="str">
        <x:v>/items/MONTHLY1862571</x:v>
      </x:c>
    </x:row>
    <x:row r="317">
      <x:c r="A317" s="28" t="n">
        <x:v>43424</x:v>
      </x:c>
      <x:c r="B317" s="29" t="str">
        <x:v>Poliwrath</x:v>
      </x:c>
      <x:c r="C317" s="29" t="str">
        <x:v>蚊香士</x:v>
      </x:c>
      <x:c r="D317" s="29" t="str">
        <x:v>PSA 8</x:v>
      </x:c>
      <x:c r="E317" s="29" t="str">
        <x:v>PSA</x:v>
      </x:c>
      <x:c r="F317" s="30" t="n">
        <x:v>26.87</x:v>
      </x:c>
      <x:c r="G317" s="30" t="n">
        <x:v>26.87</x:v>
      </x:c>
      <x:c r="H317" s="29" t="str">
        <x:v>$26.87</x:v>
      </x:c>
      <x:c r="I317" s="31" t="n">
        <x:f>ROUND(G317*J317,0)</x:f>
        <x:v>868</x:v>
      </x:c>
      <x:c r="J317" s="32" t="n">
        <x:v>32.3</x:v>
      </x:c>
      <x:c r="K317" s="29" t="str">
        <x:v>Auction</x:v>
      </x:c>
      <x:c r="L317" s="29" t="str">
        <x:v>Fanatics</x:v>
      </x:c>
      <x:c r="M317" s="33" t="str">
        <x:v>/items/MONTHLY1862578</x:v>
      </x:c>
    </x:row>
    <x:row r="318">
      <x:c r="A318" s="28" t="n">
        <x:v>43424</x:v>
      </x:c>
      <x:c r="B318" s="29" t="str">
        <x:v>Raichu</x:v>
      </x:c>
      <x:c r="C318" s="29" t="str">
        <x:v>雷丘</x:v>
      </x:c>
      <x:c r="D318" s="29" t="str">
        <x:v>PSA 8</x:v>
      </x:c>
      <x:c r="E318" s="29" t="str">
        <x:v>PSA</x:v>
      </x:c>
      <x:c r="F318" s="30" t="n">
        <x:v>31</x:v>
      </x:c>
      <x:c r="G318" s="30" t="n">
        <x:v>31</x:v>
      </x:c>
      <x:c r="H318" s="29" t="str">
        <x:v>$31</x:v>
      </x:c>
      <x:c r="I318" s="31" t="n">
        <x:f>ROUND(G318*J318,0)</x:f>
        <x:v>1001</x:v>
      </x:c>
      <x:c r="J318" s="32" t="n">
        <x:v>32.3</x:v>
      </x:c>
      <x:c r="K318" s="29" t="str">
        <x:v>Auction</x:v>
      </x:c>
      <x:c r="L318" s="29" t="str">
        <x:v>Fanatics</x:v>
      </x:c>
      <x:c r="M318" s="33" t="str">
        <x:v>/items/MONTHLY1862585</x:v>
      </x:c>
    </x:row>
    <x:row r="319">
      <x:c r="A319" s="28" t="n">
        <x:v>43424</x:v>
      </x:c>
      <x:c r="B319" s="29" t="str">
        <x:v>Raichu</x:v>
      </x:c>
      <x:c r="C319" s="29" t="str">
        <x:v>雷丘</x:v>
      </x:c>
      <x:c r="D319" s="29" t="str">
        <x:v>PSA 8</x:v>
      </x:c>
      <x:c r="E319" s="29" t="str">
        <x:v>PSA</x:v>
      </x:c>
      <x:c r="F319" s="30" t="n">
        <x:v>49</x:v>
      </x:c>
      <x:c r="G319" s="30" t="n">
        <x:v>49</x:v>
      </x:c>
      <x:c r="H319" s="29" t="str">
        <x:v>$49</x:v>
      </x:c>
      <x:c r="I319" s="31" t="n">
        <x:f>ROUND(G319*J319,0)</x:f>
        <x:v>1583</x:v>
      </x:c>
      <x:c r="J319" s="32" t="n">
        <x:v>32.3</x:v>
      </x:c>
      <x:c r="K319" s="29" t="str">
        <x:v>Auction</x:v>
      </x:c>
      <x:c r="L319" s="29" t="str">
        <x:v>Fanatics</x:v>
      </x:c>
      <x:c r="M319" s="33" t="str">
        <x:v>/items/MONTHLY1862584</x:v>
      </x:c>
    </x:row>
    <x:row r="320">
      <x:c r="A320" s="28" t="n">
        <x:v>43424</x:v>
      </x:c>
      <x:c r="B320" s="29" t="str">
        <x:v>Zapdos</x:v>
      </x:c>
      <x:c r="C320" s="29" t="str">
        <x:v>閃電鳥</x:v>
      </x:c>
      <x:c r="D320" s="29" t="str">
        <x:v>PSA 9</x:v>
      </x:c>
      <x:c r="E320" s="29" t="str">
        <x:v>PSA</x:v>
      </x:c>
      <x:c r="F320" s="30" t="n">
        <x:v>57</x:v>
      </x:c>
      <x:c r="G320" s="30" t="n">
        <x:v>57</x:v>
      </x:c>
      <x:c r="H320" s="29" t="str">
        <x:v>$57</x:v>
      </x:c>
      <x:c r="I320" s="31" t="n">
        <x:f>ROUND(G320*J320,0)</x:f>
        <x:v>1841</x:v>
      </x:c>
      <x:c r="J320" s="32" t="n">
        <x:v>32.3</x:v>
      </x:c>
      <x:c r="K320" s="29" t="str">
        <x:v>Auction</x:v>
      </x:c>
      <x:c r="L320" s="29" t="str">
        <x:v>Fanatics</x:v>
      </x:c>
      <x:c r="M320" s="33" t="str">
        <x:v>/items/MONTHLY1862599</x:v>
      </x:c>
    </x:row>
    <x:row r="321">
      <x:c r="A321" s="28" t="n">
        <x:v>43424</x:v>
      </x:c>
      <x:c r="B321" s="29" t="str">
        <x:v>Zapdos</x:v>
      </x:c>
      <x:c r="C321" s="29" t="str">
        <x:v>閃電鳥</x:v>
      </x:c>
      <x:c r="D321" s="29" t="str">
        <x:v>PSA 8</x:v>
      </x:c>
      <x:c r="E321" s="29" t="str">
        <x:v>PSA</x:v>
      </x:c>
      <x:c r="F321" s="30" t="n">
        <x:v>29</x:v>
      </x:c>
      <x:c r="G321" s="30" t="n">
        <x:v>29</x:v>
      </x:c>
      <x:c r="H321" s="29" t="str">
        <x:v>$29</x:v>
      </x:c>
      <x:c r="I321" s="31" t="n">
        <x:f>ROUND(G321*J321,0)</x:f>
        <x:v>937</x:v>
      </x:c>
      <x:c r="J321" s="32" t="n">
        <x:v>32.3</x:v>
      </x:c>
      <x:c r="K321" s="29" t="str">
        <x:v>Auction</x:v>
      </x:c>
      <x:c r="L321" s="29" t="str">
        <x:v>Fanatics</x:v>
      </x:c>
      <x:c r="M321" s="33" t="str">
        <x:v>/items/MONTHLY1862598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e2d49d8a7ab462a"/>
  </x:tableParts>
</x:worksheet>
</file>